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laragon\www\rcdc_mlg\public\uploads\pkm\xlsx\"/>
    </mc:Choice>
  </mc:AlternateContent>
  <xr:revisionPtr revIDLastSave="0" documentId="13_ncr:1_{EFE8B678-0B6B-4749-8A0B-4EF426BEF35A}" xr6:coauthVersionLast="47" xr6:coauthVersionMax="47" xr10:uidLastSave="{00000000-0000-0000-0000-000000000000}"/>
  <bookViews>
    <workbookView xWindow="-120" yWindow="-120" windowWidth="29040" windowHeight="15720" firstSheet="4" activeTab="5" xr2:uid="{85896611-373D-482B-AB65-1132E3CA3486}"/>
  </bookViews>
  <sheets>
    <sheet name="2020-2021" sheetId="1" r:id="rId1"/>
    <sheet name="2021-2022" sheetId="2" r:id="rId2"/>
    <sheet name="2022-2023" sheetId="3" r:id="rId3"/>
    <sheet name="2023-2024" sheetId="4" r:id="rId4"/>
    <sheet name="List" sheetId="5" r:id="rId5"/>
    <sheet name="CE" sheetId="7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" i="7" l="1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</calcChain>
</file>

<file path=xl/sharedStrings.xml><?xml version="1.0" encoding="utf-8"?>
<sst xmlns="http://schemas.openxmlformats.org/spreadsheetml/2006/main" count="1358" uniqueCount="285">
  <si>
    <t>Periode 2020-2021</t>
  </si>
  <si>
    <t>Link Akses :</t>
  </si>
  <si>
    <t>No</t>
  </si>
  <si>
    <t>Periode</t>
  </si>
  <si>
    <t>FM</t>
  </si>
  <si>
    <t>Judul PKM</t>
  </si>
  <si>
    <t>Jenis PKM</t>
  </si>
  <si>
    <t>Peserta</t>
  </si>
  <si>
    <t>Ganjil 2020-2021</t>
  </si>
  <si>
    <t>Achmad Safiaji</t>
  </si>
  <si>
    <t>Solusi Bekerja di Masa Pandemi</t>
  </si>
  <si>
    <t>Mandiri</t>
  </si>
  <si>
    <t>Komunitas Persewaan Sound System Malang Raya</t>
  </si>
  <si>
    <t>Adhi Murti Citra Amalia</t>
  </si>
  <si>
    <t>How to Create Branding &amp; Digital Branding and Digital Platforms</t>
  </si>
  <si>
    <t>SMA Kristen Kalam Kudus Malang</t>
  </si>
  <si>
    <t>Basic Knowledge about Branding &amp; Digital Branding and Digital Platforms</t>
  </si>
  <si>
    <t>SMAK St. Louis Surabaya</t>
  </si>
  <si>
    <t>Eflina Nurdini Febrita Mona</t>
  </si>
  <si>
    <t>Creative Public Relations</t>
  </si>
  <si>
    <t>Masyarakat umum</t>
  </si>
  <si>
    <t>Gabriella Sagita Putri</t>
  </si>
  <si>
    <t>Digitalpreneur Camp</t>
  </si>
  <si>
    <t>Siswa SMA</t>
  </si>
  <si>
    <t>Galuh Ayu Savitri</t>
  </si>
  <si>
    <t>Digital Branding &amp; Event Management</t>
  </si>
  <si>
    <t>Creative Branding in PR</t>
  </si>
  <si>
    <t>SMA Se Indonesia</t>
  </si>
  <si>
    <t>Nisrin Husna</t>
  </si>
  <si>
    <t>EVENT MANAGEMENT</t>
  </si>
  <si>
    <t>SMA Santa Maria</t>
  </si>
  <si>
    <t>CREATIVE PR</t>
  </si>
  <si>
    <t>Okky Pramudita</t>
  </si>
  <si>
    <t>-</t>
  </si>
  <si>
    <t>Bhernadeta</t>
  </si>
  <si>
    <t>HOW to OVERCOME the Fear of Public Speaking</t>
  </si>
  <si>
    <t>UMKM/SME</t>
  </si>
  <si>
    <t>Genap 2020-2021</t>
  </si>
  <si>
    <t>Pendampingan UMKM</t>
  </si>
  <si>
    <t>UMKM Binaan Binus</t>
  </si>
  <si>
    <t>Tren Digital Branding 5 Tahun ke Depan</t>
  </si>
  <si>
    <t>Membangun Customer Relationship melalui Social Media</t>
  </si>
  <si>
    <t>Basic Public speaking</t>
  </si>
  <si>
    <t>Pengembangan Merek bagi UMKM Kabupaten Malang </t>
  </si>
  <si>
    <t>Striving to Extend Small and Medium Enterprise with USPR</t>
  </si>
  <si>
    <t>Optimalisasi Instagram Sebagai Media Branding</t>
  </si>
  <si>
    <t>KOMUNIKASI MULTIPLATFORM</t>
  </si>
  <si>
    <t>Public Speaking For Industries</t>
  </si>
  <si>
    <t>Memaksimalkan Promosi Sosial Media</t>
  </si>
  <si>
    <t>Periode 2021-2022</t>
  </si>
  <si>
    <t>Link Akses</t>
  </si>
  <si>
    <t>Ganjil 2021-2022</t>
  </si>
  <si>
    <t>PERANCANGAN STRATEGI OMNICHANNEL PROMOSI UNTUK UMKM KABUPATEN MALANG</t>
  </si>
  <si>
    <t>How to Create Branding</t>
  </si>
  <si>
    <t>Pelajar SMA di Jawa Timur</t>
  </si>
  <si>
    <t>Technology Used Memviralkan Pantai Malang Selatan</t>
  </si>
  <si>
    <t>Pendampingan terprogram</t>
  </si>
  <si>
    <t>Pokdarwis kecamatan Tirtoyudo, Kabupaten Malang </t>
  </si>
  <si>
    <t>Public speaking skills</t>
  </si>
  <si>
    <t>Kejaksaan Negeri kota Malang</t>
  </si>
  <si>
    <t>Basic Knowledge about Branding</t>
  </si>
  <si>
    <t>SMA St. Paulus Jember</t>
  </si>
  <si>
    <t>Maximizing Instagram as Omnichannel Platform</t>
  </si>
  <si>
    <t>Memviralkan Pantai Malang Selatan melalui Strategi Digital Marketing</t>
  </si>
  <si>
    <t>How to be Creative on Social Media</t>
  </si>
  <si>
    <t>Genap 2021-2022</t>
  </si>
  <si>
    <t>Social Media Content for Creative Industry</t>
  </si>
  <si>
    <t>Pengusaha dan Influencer di Jawa Timur </t>
  </si>
  <si>
    <t>Think Creative in Strategic Branding Canvas</t>
  </si>
  <si>
    <t>SMA Di Jawa Timur</t>
  </si>
  <si>
    <t>Public Speaking for Industry UMKM Kabupaten Malang</t>
  </si>
  <si>
    <t>Think Creative in Strategic Digital Branding</t>
  </si>
  <si>
    <t>Content Optimalization</t>
  </si>
  <si>
    <t>Optimalisasi Instagram sebagai Media Branding</t>
  </si>
  <si>
    <t>Content Optimalization Mandato.ID</t>
  </si>
  <si>
    <t>Periode 2022-2023</t>
  </si>
  <si>
    <t>Ganjil 2022-2023</t>
  </si>
  <si>
    <t>Pembuatan Konten Story Telling (Reels dan TikTok)</t>
  </si>
  <si>
    <t>How to Branding your TikTok Shop</t>
  </si>
  <si>
    <t>Analisa Profile Superheru_id</t>
  </si>
  <si>
    <t>UMKM Superheru</t>
  </si>
  <si>
    <t>PEMAKSIMALAN INSTAGRAM &amp; TIKTOK SEBAGAI MEDIA PROMOSI DAN BRANDING</t>
  </si>
  <si>
    <t>Pelatihan Memaksimalkan Social Media sebagai Media Branding</t>
  </si>
  <si>
    <t>Desa Wringinanom</t>
  </si>
  <si>
    <t>Optimalisasi Profil TikTok</t>
  </si>
  <si>
    <t>Program Pendampingan Warga Desa Wringinanom dan Gubugklakah Kecamatan Poncokusumo Kabupaten Malang </t>
  </si>
  <si>
    <t>MEMAKSIMALKAN TIKTOK SEBAGAI MEDIA PROMOSI DIGITAL PRODUK UMKM</t>
  </si>
  <si>
    <t>pembuatan konten story telling (reels &amp; tiktok)</t>
  </si>
  <si>
    <t>Genap 2022-2023</t>
  </si>
  <si>
    <t>MEMAKSIMALKAN SOCIAL MEDIA UNTUK MEMBANGUN INTERAKSI DENGAN CUSTOMER</t>
  </si>
  <si>
    <t>Compassionate Communication and Leadership</t>
  </si>
  <si>
    <t>SMA St Albertus</t>
  </si>
  <si>
    <t>Public Speaking Practice Words, Voice, Body Language</t>
  </si>
  <si>
    <t>SMAK Cor Jesu</t>
  </si>
  <si>
    <t>Tips and Trick Memaksimalkan Konten yang memiliki Keunikan Cerita</t>
  </si>
  <si>
    <t>Media Sosial sebagai Storytelling Platform</t>
  </si>
  <si>
    <t>Strategi Membangun Interaksi dengan Customer di Media Sosial</t>
  </si>
  <si>
    <t>Communication for Freshmen Orientation</t>
  </si>
  <si>
    <t>SMA Di Malang</t>
  </si>
  <si>
    <t>FOSTERING AND EMPOWERING MICRO AND SMALL ENTERPRISES IN A DIGITAL WORLD</t>
  </si>
  <si>
    <t>Mahasiswa di Indonesia</t>
  </si>
  <si>
    <t>Periode 2023-2024</t>
  </si>
  <si>
    <t>Link akses</t>
  </si>
  <si>
    <t>Ganjil 2023-2024</t>
  </si>
  <si>
    <t>Pembuatan Timeline dan Konsep Story Telling (Reels dan Tiktok) UMKM Superheru</t>
  </si>
  <si>
    <t>People Management and Crowd Control</t>
  </si>
  <si>
    <t>SMAK St. Louis Surabaya dan Zoom Meeting</t>
  </si>
  <si>
    <t>Komunikasi Efektif dalam Negosiasi</t>
  </si>
  <si>
    <t>Social Media Timeline atau Content Management &amp; Scheduling for SME</t>
  </si>
  <si>
    <t>Pembuatan Timeline dan Konsep Story Telling (Reels dan Tiktok) UMKM</t>
  </si>
  <si>
    <t>Promotion Tactics for Sustainable Tourism Product</t>
  </si>
  <si>
    <t>TAR-UMT student </t>
  </si>
  <si>
    <t>Teknik Negosiasi Dalam Bisnis  </t>
  </si>
  <si>
    <t>Pembuatan  Timeline dan CMS UMKM Superheru</t>
  </si>
  <si>
    <t>Genap 2023-2024</t>
  </si>
  <si>
    <t>Training Komunikasi &amp; workshop Public Speaking Pendamping PKH Dinsos Kota Malang</t>
  </si>
  <si>
    <t>PKH Dinsos Kota Malang</t>
  </si>
  <si>
    <t>Langkah-langkah Penggunaan Chat GPT untuk Konten Promosi</t>
  </si>
  <si>
    <t>Social Media Timeline dan Konsep Konten Story Telling dengan memanfaatkan AI</t>
  </si>
  <si>
    <t>Dasar dan Fungsi AI dalam Aktivitas Promosi Digital</t>
  </si>
  <si>
    <t>Analisis Trend Kopi bagi Wisatawan</t>
  </si>
  <si>
    <t>Basic AI (Artificial Intelligence) untuk Aktivitas Promosi Digital Produk UMKM</t>
  </si>
  <si>
    <t>PUBLIC SPEAKING FOR POSITIVE IMPACT</t>
  </si>
  <si>
    <t>Kode Dosen</t>
  </si>
  <si>
    <t>Skema Pendanaan</t>
  </si>
  <si>
    <t>Nama Mahasiswa</t>
  </si>
  <si>
    <t>Link Evidance</t>
  </si>
  <si>
    <t>D6395</t>
  </si>
  <si>
    <t>D6263</t>
  </si>
  <si>
    <t>Jurusan</t>
  </si>
  <si>
    <t>D6070</t>
  </si>
  <si>
    <t>Rhema Granaldi Tomasila, Ivana</t>
  </si>
  <si>
    <t>Adhimurti Citra Amalia</t>
  </si>
  <si>
    <t>D6069</t>
  </si>
  <si>
    <t>Olive, Ekky</t>
  </si>
  <si>
    <t>Eflina Mona</t>
  </si>
  <si>
    <t>D5910</t>
  </si>
  <si>
    <t>Gabriella Sagita</t>
  </si>
  <si>
    <t>D5837</t>
  </si>
  <si>
    <t>Galuh Ayu Safitri</t>
  </si>
  <si>
    <t>D5936</t>
  </si>
  <si>
    <t>Ditto Bezaleel Budiharjo, Nabilah Vad Aq</t>
  </si>
  <si>
    <t>PKM 1</t>
  </si>
  <si>
    <t>Ivana</t>
  </si>
  <si>
    <t>BINUS</t>
  </si>
  <si>
    <t>PKM 2</t>
  </si>
  <si>
    <t>Nazaria Jotur Siregar</t>
  </si>
  <si>
    <t>Fossetta Elysia</t>
  </si>
  <si>
    <t>Louise Yosifania Ivy</t>
  </si>
  <si>
    <t>Marsa Lufna Salsabila</t>
  </si>
  <si>
    <t>Shannon Ariella  Suhartono</t>
  </si>
  <si>
    <t>Grace Marcelline</t>
  </si>
  <si>
    <t>Tips &amp; Tricks rajin posting sekaligus membuat konten bagi UMKM</t>
  </si>
  <si>
    <t>Muhammad Azizil Hartono, Ferina Arkan</t>
  </si>
  <si>
    <t>Desandra Salsabila, Gracia Veronica Soetjipto, Yasmin Noor Jamila</t>
  </si>
  <si>
    <t>Gracia Veronica</t>
  </si>
  <si>
    <t>Kartika Laras Panduhati</t>
  </si>
  <si>
    <t>Maria Vannyzia Wibowo</t>
  </si>
  <si>
    <t>Louise Yoshifania Ivy</t>
  </si>
  <si>
    <t>Leony Cherrylia Gunawan</t>
  </si>
  <si>
    <t>Arani Rachma Laila</t>
  </si>
  <si>
    <t>Efflina Mona</t>
  </si>
  <si>
    <t>Michelle Cindy Lay</t>
  </si>
  <si>
    <t>Belinda Dyan Chriswitular, Reny Nadifatin, Yogi Tri Prasetyo</t>
  </si>
  <si>
    <t>Jumlah Kegiatan PPM sampai 2 Juni 2025</t>
  </si>
  <si>
    <t>Jumlah Lap</t>
  </si>
  <si>
    <t>Skor SEMENTARA</t>
  </si>
  <si>
    <t>Keterangan : Minimal 1 Kegiatan PkM</t>
  </si>
  <si>
    <t>Sudah PkM</t>
  </si>
  <si>
    <t>Belum PkM</t>
  </si>
  <si>
    <t>D6365</t>
  </si>
  <si>
    <t xml:space="preserve">Jurusan Binaan </t>
  </si>
  <si>
    <t xml:space="preserve">Nama Dosen </t>
  </si>
  <si>
    <t>Entrepreneurship (Malang)</t>
  </si>
  <si>
    <t>Muhammad Idham Sofyan, S.E., M.M.</t>
  </si>
  <si>
    <t>Dr. Yoseph Benny Kusuma, S.M., M.SM.</t>
  </si>
  <si>
    <t>Riesta Devi Kumalasari, S.E., M.M.</t>
  </si>
  <si>
    <t>Dr. Kukuh Lukiyanto, S.T., M.M., M.T.</t>
  </si>
  <si>
    <t>Agung Purnomo, S.P., MBA</t>
  </si>
  <si>
    <t>Priska Arindya Purnama, S.Si., M.Si.</t>
  </si>
  <si>
    <t>Etsa Astridya Setiyati, S.E., M.Comm.</t>
  </si>
  <si>
    <t>Febby Candra Pratama, S.E., M.M.</t>
  </si>
  <si>
    <t>Dr. Meilinda Trisilia, S.Si., M.Si.</t>
  </si>
  <si>
    <t>Mardhatilah Shanti, S.E., M.M.</t>
  </si>
  <si>
    <t>Dr. Murniati, S.E., M.Si.</t>
  </si>
  <si>
    <t>Dr. Sahnaz Ubud, S.T., M.MT</t>
  </si>
  <si>
    <t>Riefky Prabowo, S.E., M.A.B</t>
  </si>
  <si>
    <t>Audio Valentino Himawan Marhendra, S.AB., M.AB</t>
  </si>
  <si>
    <t>Riza Rizqiyah, S.M., MBA</t>
  </si>
  <si>
    <t>Wilyan Adiasari, S.E., M.M.</t>
  </si>
  <si>
    <t>Dr. R. Aditya Kristamtomo Putra, S.T., M.M</t>
  </si>
  <si>
    <t>Mufida Sekardhani, S.E., MBA</t>
  </si>
  <si>
    <t>Helena Hanindya Kartika Putri, S.S., MBA</t>
  </si>
  <si>
    <t>Satria Fadil Persada, S.Kom., MBA., Ph.D.</t>
  </si>
  <si>
    <t>Risca Kurnia Sari, S.E., M.M.</t>
  </si>
  <si>
    <t>Dr. Nur Pratiwi, S.E., M.Sc.</t>
  </si>
  <si>
    <t>Krismi Budi Sienatra, S.E., M.M.</t>
  </si>
  <si>
    <t>Hany Azza Umama, S.E., M.M.</t>
  </si>
  <si>
    <t>Nur Yudiono, S.AB., M.AB.</t>
  </si>
  <si>
    <t>Harris Prasetya Rahmandika, S.M., M.M.</t>
  </si>
  <si>
    <t>Veronica Swasti Paramitha, S.E., M.B.A.</t>
  </si>
  <si>
    <t>Character Building</t>
  </si>
  <si>
    <t>Priskardus Hermanto Candra, S.S., M.Hum.</t>
  </si>
  <si>
    <t>Gamal Kusuma Zamahsari, S.Pd., M.Pd.</t>
  </si>
  <si>
    <t>Faishal Hilmy Maulida, S.Hum., M.Hum.</t>
  </si>
  <si>
    <t>Pandu Meidian Pratama, S.Pd., M.Pd.</t>
  </si>
  <si>
    <t>Mufidah Nur Amalia, S.Pd., M.Pd.</t>
  </si>
  <si>
    <t>Dika Sri Pandanari, S.Fil., M.Sos.</t>
  </si>
  <si>
    <t>Gedong Maulana Kabir, S.Ag., M.A.</t>
  </si>
  <si>
    <t>Muhammad Reza Alfasina, S.Ag., M.Phil.</t>
  </si>
  <si>
    <t>Romanus Piter, S.Fil., M.Fil.</t>
  </si>
  <si>
    <t>Communications (Malang)</t>
  </si>
  <si>
    <t>Windaningsih, S.Sos., M.I.Kom</t>
  </si>
  <si>
    <t>Nur Kholis, S.S., M.I.Kom</t>
  </si>
  <si>
    <t>Frederik Masri Gasa, S.IP., M.Si.</t>
  </si>
  <si>
    <t>Lila Nathania, S.I.Kom., M.Litt.</t>
  </si>
  <si>
    <t>Bhekti Setyowibowo, S.Ikom., M.Si.</t>
  </si>
  <si>
    <t>Wahyu Kristian Natalia, S.I.Kom., M.I.Kom.</t>
  </si>
  <si>
    <t>Radityo Widiatmojo, S.Sos., M.Si.</t>
  </si>
  <si>
    <t>Rio Satria Nugroho, S.Hum., M.Med.Kom.</t>
  </si>
  <si>
    <t>Public Relations (Malang)</t>
  </si>
  <si>
    <t>Galuh Ayu Savitri, S.I.Kom., M.I.Kom.</t>
  </si>
  <si>
    <t>Gabriela Sagita Putri, S.Sosio., M.Med.Kom.</t>
  </si>
  <si>
    <t>Nisrin Husna, S.I.Kom., M.I.Kom.</t>
  </si>
  <si>
    <t>Eflina Nurdini Febrita Mona, S.I.Kom., M.I.Kom.</t>
  </si>
  <si>
    <t>Adhimurti Citra Amalia, S.Ant., M.Med.Kom.</t>
  </si>
  <si>
    <t>Achmad Safiaji, S.I.Kom., M.I.Kom</t>
  </si>
  <si>
    <t>Okky Pramudita, S.I.Kom., M.I.Kom</t>
  </si>
  <si>
    <t>Digital Language Learning Center</t>
  </si>
  <si>
    <t>Asih Zunaidah, S.S., M.Li.</t>
  </si>
  <si>
    <t>Nina Amalia Nurichsania, S.Pd., M.Pd.</t>
  </si>
  <si>
    <t>Miftahul Hamim, S.Pd., M.Pd.</t>
  </si>
  <si>
    <t>Lailatul Rif'ah, S.Pd., M.Pd.</t>
  </si>
  <si>
    <t>Computer Science (Malang)</t>
  </si>
  <si>
    <t>Dr. Choirul Huda, S.Kom., M.M.</t>
  </si>
  <si>
    <t>Alvin Chandra, S.Kom., M.M.</t>
  </si>
  <si>
    <t>Albert Verasius Dian Sano, S.T., M.Kom.</t>
  </si>
  <si>
    <t>Dr. Anita Rahayu, S.Si., M.Si.</t>
  </si>
  <si>
    <t>Elizabeth Paskahlia Gunawan, S.Kom., M.Cs.</t>
  </si>
  <si>
    <t>Sidharta, S.Si., M.MT.</t>
  </si>
  <si>
    <t>Wina Permana Sari, S.T., M.Kom.</t>
  </si>
  <si>
    <t>Fairuz Iqbal Maulana, S.T., M.T.</t>
  </si>
  <si>
    <t>Mirza Ramadhani, S.Kom., M.Kom.</t>
  </si>
  <si>
    <t>Frihandhika Permana, S.Pd., M.Kom.</t>
  </si>
  <si>
    <t>M. Aldiki Febriantono, S.T., M.T.</t>
  </si>
  <si>
    <t>Gusti Pangestu, S.Kom., M.Kom.</t>
  </si>
  <si>
    <t>Nyoman Wira Prasetya, S.Kom., M.T., M. Sc.</t>
  </si>
  <si>
    <t>Danang Wahyu Wicaksono, S.Si., M.Si.</t>
  </si>
  <si>
    <t>Yulianto, S.Kom., M.Kom.</t>
  </si>
  <si>
    <t>Milkhatussyafa'ah Taufiq, S.T., M.T.</t>
  </si>
  <si>
    <t>Dio Saputra Kudori, S.Kom., M.Kom.</t>
  </si>
  <si>
    <t>Chasandra Puspitasari, S.Kom., M.Cs</t>
  </si>
  <si>
    <t>Ir. Simeon Yuda Prasetyo, S.Kom., M.Kom.</t>
  </si>
  <si>
    <t>Interior Design (Malang)</t>
  </si>
  <si>
    <t>Bambang Kartono K, S.Sn., M.A.</t>
  </si>
  <si>
    <t>Ira Audia Agustina, S.T., M.Ds.</t>
  </si>
  <si>
    <t>Ida Bagus Ananta Wijaya, S.T., M.T.</t>
  </si>
  <si>
    <t>Tiara Ika Widia Primadani, S.T., M.Ds.</t>
  </si>
  <si>
    <t>Wahyu Waskito Putra, S.Sn., M.Sn.</t>
  </si>
  <si>
    <t>Andi Pramono, S.T., M.Arch</t>
  </si>
  <si>
    <t>Baskoro Azis, S.T., M.T.</t>
  </si>
  <si>
    <t>Andhika Pramalystianto, S.T., M.Ds.</t>
  </si>
  <si>
    <t>Brainnisa Ramadhani Nur Nisrina, S.Ds., M.Ds.</t>
  </si>
  <si>
    <t>Hilmi Dzakaaul Islam, S.Ds., M.Ds.</t>
  </si>
  <si>
    <t>Asteria Nabila Noviandari Ernanda, S.Ds., M.Ds.</t>
  </si>
  <si>
    <t>Visual Communication Design (Malang)</t>
  </si>
  <si>
    <t>Yudhistya Ayu Kusumawati, S.Sn., M.Ds.</t>
  </si>
  <si>
    <t>Victor Adiluhung Abednego, S.T., M.Ds.</t>
  </si>
  <si>
    <t>Miranti Nurul Huda, S.Sn., M.Ds.</t>
  </si>
  <si>
    <t>Yongkie Angkawijaya, S.Sn., M.Ds.</t>
  </si>
  <si>
    <t>Lutfi Tri Atmaji, S.T., M.Sn.</t>
  </si>
  <si>
    <t>Cahyaning Umul Chasanah Nursyifani, S.T., M.Ds.</t>
  </si>
  <si>
    <t>Satrya Dirgantara, ST, MSn</t>
  </si>
  <si>
    <t>Hindam Basith Rafiqi, S.Sn., M.Sn.</t>
  </si>
  <si>
    <t>Asri Radhitanti, S.Sn., M.Ds.</t>
  </si>
  <si>
    <t>Safitri Aprillia Putri, S.Sn., M.Ds.</t>
  </si>
  <si>
    <t>Wahyu Kurnia Dewi, S.Sn., M.Sn.</t>
  </si>
  <si>
    <t>Rudi Yulio Arindiono, S.T., M.A</t>
  </si>
  <si>
    <t>Muhammad Khirzan Ulinnuha, S.T., M.Sn.</t>
  </si>
  <si>
    <t>Jevon Jeremy, S.Ds., M.Sn.</t>
  </si>
  <si>
    <t>Ni Putu Elvian Andreani, S.Ds., M.Ds.</t>
  </si>
  <si>
    <t>Elsa Graciana Nugraeni, S.Ds., M.Ds.</t>
  </si>
  <si>
    <t>Reyza Dwi Dzulqarnain Kahfi, S.Sn., M.Ds.</t>
  </si>
  <si>
    <t>Erik Arma Yuda, S.Sn, M.Ds., Ph.D.</t>
  </si>
  <si>
    <t>Reven Praga Deva, S.Ds., M.Ds.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</si>
</sst>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0"/>
      <color theme="1" tint="4.9989318521683403E-2"/>
      <name val="Tahoma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Open Sans"/>
      <charset val="1"/>
    </font>
    <font>
      <b/>
      <sz val="10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9C0006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5" borderId="17" xfId="0" applyFont="1" applyFill="1" applyBorder="1" applyAlignment="1">
      <alignment horizontal="left"/>
    </xf>
    <xf numFmtId="0" fontId="2" fillId="5" borderId="18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/>
    </xf>
    <xf numFmtId="0" fontId="3" fillId="0" borderId="1" xfId="0" applyFont="1" applyBorder="1"/>
    <xf numFmtId="0" fontId="5" fillId="2" borderId="2" xfId="0" applyFont="1" applyFill="1" applyBorder="1" applyAlignment="1">
      <alignment vertical="center" wrapText="1"/>
    </xf>
    <xf numFmtId="0" fontId="3" fillId="4" borderId="1" xfId="0" applyFont="1" applyFill="1" applyBorder="1"/>
    <xf numFmtId="0" fontId="3" fillId="0" borderId="12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6" fillId="0" borderId="0" xfId="0" applyFont="1"/>
    <xf numFmtId="0" fontId="5" fillId="2" borderId="20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5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2" borderId="22" xfId="0" applyFont="1" applyFill="1" applyBorder="1" applyAlignment="1">
      <alignment horizontal="left" vertical="center" wrapText="1"/>
    </xf>
    <xf numFmtId="0" fontId="7" fillId="0" borderId="0" xfId="1"/>
    <xf numFmtId="0" fontId="8" fillId="0" borderId="0" xfId="0" applyFont="1"/>
    <xf numFmtId="0" fontId="1" fillId="0" borderId="0" xfId="1" applyFont="1"/>
    <xf numFmtId="0" fontId="4" fillId="0" borderId="24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5" borderId="19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0" xfId="0" applyFont="1" applyBorder="1"/>
    <xf numFmtId="0" fontId="6" fillId="0" borderId="24" xfId="0" applyFont="1" applyBorder="1"/>
    <xf numFmtId="0" fontId="3" fillId="3" borderId="10" xfId="0" applyFont="1" applyFill="1" applyBorder="1"/>
    <xf numFmtId="0" fontId="3" fillId="4" borderId="10" xfId="0" applyFont="1" applyFill="1" applyBorder="1"/>
    <xf numFmtId="0" fontId="4" fillId="0" borderId="24" xfId="0" applyFont="1" applyBorder="1"/>
    <xf numFmtId="0" fontId="3" fillId="0" borderId="14" xfId="0" applyFont="1" applyBorder="1"/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/>
    <xf numFmtId="0" fontId="6" fillId="0" borderId="1" xfId="0" applyFont="1" applyBorder="1"/>
    <xf numFmtId="0" fontId="11" fillId="0" borderId="0" xfId="0" applyFont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" fillId="0" borderId="2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6" borderId="27" xfId="0" applyFont="1" applyFill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28" xfId="0" applyFill="1" applyBorder="1"/>
    <xf numFmtId="0" fontId="0" fillId="6" borderId="0" xfId="0" applyFill="1"/>
    <xf numFmtId="0" fontId="5" fillId="6" borderId="1" xfId="0" applyFont="1" applyFill="1" applyBorder="1" applyAlignment="1">
      <alignment horizontal="left"/>
    </xf>
    <xf numFmtId="0" fontId="13" fillId="0" borderId="0" xfId="0" applyFont="1"/>
    <xf numFmtId="0" fontId="9" fillId="0" borderId="28" xfId="0" applyFont="1" applyBorder="1"/>
    <xf numFmtId="0" fontId="0" fillId="3" borderId="1" xfId="0" applyFill="1" applyBorder="1" applyAlignment="1">
      <alignment horizontal="center" vertical="center"/>
    </xf>
    <xf numFmtId="0" fontId="15" fillId="0" borderId="0" xfId="0" applyFont="1"/>
    <xf numFmtId="0" fontId="15" fillId="6" borderId="0" xfId="0" applyFont="1" applyFill="1"/>
    <xf numFmtId="0" fontId="3" fillId="7" borderId="9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15" fillId="7" borderId="0" xfId="0" applyFont="1" applyFill="1"/>
    <xf numFmtId="0" fontId="3" fillId="7" borderId="10" xfId="0" applyFont="1" applyFill="1" applyBorder="1" applyAlignment="1">
      <alignment horizontal="left"/>
    </xf>
    <xf numFmtId="0" fontId="13" fillId="0" borderId="28" xfId="0" applyFont="1" applyBorder="1"/>
    <xf numFmtId="0" fontId="14" fillId="0" borderId="28" xfId="0" applyFont="1" applyBorder="1"/>
    <xf numFmtId="0" fontId="18" fillId="11" borderId="1" xfId="0" applyFont="1" applyFill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27" xfId="0" applyFont="1" applyBorder="1"/>
    <xf numFmtId="0" fontId="18" fillId="13" borderId="28" xfId="0" applyFont="1" applyFill="1" applyBorder="1"/>
    <xf numFmtId="0" fontId="20" fillId="14" borderId="28" xfId="0" applyFont="1" applyFill="1" applyBorder="1"/>
    <xf numFmtId="0" fontId="16" fillId="8" borderId="2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/>
    </xf>
    <xf numFmtId="0" fontId="19" fillId="12" borderId="26" xfId="0" applyFont="1" applyFill="1" applyBorder="1" applyAlignment="1">
      <alignment wrapText="1"/>
    </xf>
    <xf numFmtId="0" fontId="18" fillId="0" borderId="30" xfId="0" applyFont="1" applyBorder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0" fontId="18" fillId="11" borderId="3" xfId="0" applyFont="1" applyFill="1" applyBorder="1" applyAlignment="1">
      <alignment horizontal="center"/>
    </xf>
    <xf numFmtId="0" fontId="20" fillId="14" borderId="29" xfId="0" applyFont="1" applyFill="1" applyBorder="1"/>
  </cellXfs>
  <cellStyles count="2">
    <cellStyle name="Hipertaut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Vir\Downloads\Capaian%20PKM%20Sampai%2011%20Juni%202025.xlsx" TargetMode="External"/><Relationship Id="rId1" Type="http://schemas.openxmlformats.org/officeDocument/2006/relationships/externalLinkPath" Target="file:///C:\Users\HanVir\Downloads\Capaian%20PKM%20Sampai%2011%20Jun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I3" t="str">
            <v>Achmad Safiaji, S.I.Kom., M.I.Kom</v>
          </cell>
          <cell r="J3" t="str">
            <v>D6263</v>
          </cell>
        </row>
        <row r="4">
          <cell r="I4" t="str">
            <v>Adhimurti Citra Amalia, S.Ant., M.Med.Kom.</v>
          </cell>
          <cell r="J4" t="str">
            <v>D6070</v>
          </cell>
        </row>
        <row r="5">
          <cell r="I5" t="str">
            <v>Agung Purnomo, S.P., MBA</v>
          </cell>
          <cell r="J5" t="str">
            <v>D5868</v>
          </cell>
        </row>
        <row r="6">
          <cell r="I6" t="str">
            <v>Albert Verasius Dian Sano, S.T., M.Kom.</v>
          </cell>
          <cell r="J6" t="str">
            <v>D3708</v>
          </cell>
        </row>
        <row r="7">
          <cell r="I7" t="str">
            <v>Alvin Chandra, S.Kom., M.M.</v>
          </cell>
          <cell r="J7" t="str">
            <v>D3555</v>
          </cell>
        </row>
        <row r="8">
          <cell r="I8" t="str">
            <v>Anak Agung Ayu Mirah Krisnawati, S.Sos., M.I.Kom</v>
          </cell>
          <cell r="J8" t="str">
            <v>D6418</v>
          </cell>
        </row>
        <row r="9">
          <cell r="I9" t="str">
            <v>Andhika Pramalystianto, S.T., M.Ds.</v>
          </cell>
          <cell r="J9" t="str">
            <v>D6585</v>
          </cell>
        </row>
        <row r="10">
          <cell r="I10" t="str">
            <v>Andi Pramono, S.T., M.Arch</v>
          </cell>
          <cell r="J10" t="str">
            <v>D6339</v>
          </cell>
        </row>
        <row r="11">
          <cell r="I11" t="str">
            <v>Anindya Widita, B.A., M.A.</v>
          </cell>
          <cell r="J11" t="str">
            <v>D5836</v>
          </cell>
        </row>
        <row r="12">
          <cell r="I12" t="str">
            <v>Asih Zunaidah, S.S., M.Li.</v>
          </cell>
          <cell r="J12" t="str">
            <v>D5943</v>
          </cell>
        </row>
        <row r="13">
          <cell r="I13" t="str">
            <v>Asri Radhitanti, S.Sn., M.Ds.</v>
          </cell>
          <cell r="J13" t="str">
            <v>D6495</v>
          </cell>
        </row>
        <row r="14">
          <cell r="I14" t="str">
            <v>Asteria Nabila Noviandari Ernanda, S.Ds., M.Ds.</v>
          </cell>
          <cell r="J14" t="str">
            <v>D7001</v>
          </cell>
        </row>
        <row r="15">
          <cell r="I15" t="str">
            <v>Audio Valentino Himawan Marhendra, S.AB., M.AB</v>
          </cell>
          <cell r="J15" t="str">
            <v>D6552</v>
          </cell>
        </row>
        <row r="16">
          <cell r="I16" t="str">
            <v>Bambang Kartono K, S.Sn., M.A.</v>
          </cell>
          <cell r="J16" t="str">
            <v>D3682</v>
          </cell>
        </row>
        <row r="17">
          <cell r="I17" t="str">
            <v>Baskoro Azis, S.T., M.T.</v>
          </cell>
          <cell r="J17" t="str">
            <v>D6383</v>
          </cell>
        </row>
        <row r="18">
          <cell r="I18" t="str">
            <v>Bhekti Setyowibowo, S.Ikom., M.Si.</v>
          </cell>
          <cell r="J18" t="str">
            <v>D6529</v>
          </cell>
        </row>
        <row r="19">
          <cell r="I19" t="str">
            <v>Brainnisa Ramadhani Nur Nisrina, S.Ds., M.Ds.</v>
          </cell>
          <cell r="J19" t="str">
            <v>D6720</v>
          </cell>
        </row>
        <row r="20">
          <cell r="I20" t="str">
            <v>Cahyaning Umul Chasanah Nursyifani, S.T., M.Ds.</v>
          </cell>
          <cell r="J20" t="str">
            <v>D6110</v>
          </cell>
        </row>
        <row r="21">
          <cell r="I21" t="str">
            <v>Chasandra Puspitasari, S.Kom., M.Cs.</v>
          </cell>
          <cell r="J21" t="str">
            <v>D6365</v>
          </cell>
        </row>
        <row r="22">
          <cell r="I22" t="str">
            <v>Danang Wahyu Wicaksono, S.Si., M.Si.</v>
          </cell>
          <cell r="J22" t="str">
            <v>D6556</v>
          </cell>
        </row>
        <row r="23">
          <cell r="I23" t="str">
            <v>Dika Sri Pandanari, S.Fil., M.Sos.</v>
          </cell>
          <cell r="J23" t="str">
            <v>D6384</v>
          </cell>
        </row>
        <row r="24">
          <cell r="I24" t="str">
            <v>Dio Saputra Kudori, S.Kom., M.Kom.</v>
          </cell>
          <cell r="J24" t="str">
            <v>D6910</v>
          </cell>
        </row>
        <row r="25">
          <cell r="I25" t="str">
            <v>Donna Carollina, S.Sn., MSn</v>
          </cell>
          <cell r="J25" t="str">
            <v>D6557</v>
          </cell>
        </row>
        <row r="26">
          <cell r="I26" t="str">
            <v>Dr. Anita Rahayu, S.Si., M.Si.</v>
          </cell>
          <cell r="J26" t="str">
            <v>D4749</v>
          </cell>
        </row>
        <row r="27">
          <cell r="I27" t="str">
            <v>Dr. Choirul Huda, S.Kom., M.M.</v>
          </cell>
          <cell r="J27" t="str">
            <v>D1789</v>
          </cell>
        </row>
        <row r="28">
          <cell r="I28" t="str">
            <v>Dr. Kukuh Lukiyanto, S.T., M.M., M.T.</v>
          </cell>
          <cell r="J28" t="str">
            <v>D5847</v>
          </cell>
        </row>
        <row r="29">
          <cell r="I29" t="str">
            <v>Dr. Meilinda Trisilia, S.Si., M.Si.</v>
          </cell>
          <cell r="J29" t="str">
            <v>D6259</v>
          </cell>
        </row>
        <row r="30">
          <cell r="I30" t="str">
            <v>Dr. Murniati, S.E., M.Si.</v>
          </cell>
          <cell r="J30" t="str">
            <v>D6358</v>
          </cell>
        </row>
        <row r="31">
          <cell r="I31" t="str">
            <v>Dr. R. Aditya Kristamtomo Putra, S.T., M.M</v>
          </cell>
          <cell r="J31" t="str">
            <v>D6581</v>
          </cell>
        </row>
        <row r="32">
          <cell r="I32" t="str">
            <v>Dr. Sahnaz Ubud, S.T., M.MT</v>
          </cell>
          <cell r="J32" t="str">
            <v>D6373</v>
          </cell>
        </row>
        <row r="33">
          <cell r="I33" t="str">
            <v>Dr. Yoseph Benny Kusuma, S.M., M.SM.</v>
          </cell>
          <cell r="J33" t="str">
            <v>D5835</v>
          </cell>
        </row>
        <row r="34">
          <cell r="I34" t="str">
            <v>Eflina Nurdini Febrita Mona, S.I.Kom., M.I.Kom.</v>
          </cell>
          <cell r="J34" t="str">
            <v>D6069</v>
          </cell>
        </row>
        <row r="35">
          <cell r="I35" t="str">
            <v>Elizabeth Paskahlia Gunawan, S.Kom., M.Cs.</v>
          </cell>
          <cell r="J35" t="str">
            <v>D5707</v>
          </cell>
        </row>
        <row r="36">
          <cell r="I36" t="str">
            <v>Elsa Graciana Nugraeni, S.Ds., M.Ds.</v>
          </cell>
          <cell r="J36" t="str">
            <v>D6999</v>
          </cell>
        </row>
        <row r="37">
          <cell r="I37" t="str">
            <v>Erik Arma Yuda, S.Sn, M.Ds., Ph.D.</v>
          </cell>
          <cell r="J37" t="str">
            <v>D7002</v>
          </cell>
        </row>
        <row r="38">
          <cell r="I38" t="str">
            <v>Etsa Astridya Setiyati, S.E., M.Comm.</v>
          </cell>
          <cell r="J38" t="str">
            <v>D6161</v>
          </cell>
        </row>
        <row r="39">
          <cell r="I39" t="str">
            <v>Fairuz Iqbal Maulana, S.T., M.T.</v>
          </cell>
          <cell r="J39" t="str">
            <v>D6066</v>
          </cell>
        </row>
        <row r="40">
          <cell r="I40" t="str">
            <v>Faishal Hilmy Maulida, S.Hum., M.Hum.</v>
          </cell>
          <cell r="J40" t="str">
            <v>D6266</v>
          </cell>
        </row>
        <row r="41">
          <cell r="I41" t="str">
            <v>Febby Candra Pratama, S.E., M.M.</v>
          </cell>
          <cell r="J41" t="str">
            <v>D6258</v>
          </cell>
        </row>
        <row r="42">
          <cell r="I42" t="str">
            <v>Frederik Masri Gasa, S.IP., M.Si.</v>
          </cell>
          <cell r="J42" t="str">
            <v>D5925</v>
          </cell>
        </row>
        <row r="43">
          <cell r="I43" t="str">
            <v>Frihandhika Permana, S.Pd., M.Kom.</v>
          </cell>
          <cell r="J43" t="str">
            <v>D6371</v>
          </cell>
        </row>
        <row r="44">
          <cell r="I44" t="str">
            <v>Gabriela Sagita Putri, S.Sosio., M.Med.Kom.</v>
          </cell>
          <cell r="J44" t="str">
            <v>D5910</v>
          </cell>
        </row>
        <row r="45">
          <cell r="I45" t="str">
            <v>Galuh Ayu Savitri, S.I.Kom., M.I.Kom.</v>
          </cell>
          <cell r="J45" t="str">
            <v>D5837</v>
          </cell>
        </row>
        <row r="46">
          <cell r="I46" t="str">
            <v>Gamal Kusuma Zamahsari, S.Pd., M.Pd.</v>
          </cell>
          <cell r="J46" t="str">
            <v>D6162</v>
          </cell>
        </row>
        <row r="47">
          <cell r="I47" t="str">
            <v>Gedong Maulana Kabir, S.Ag., M.A.</v>
          </cell>
          <cell r="J47" t="str">
            <v>D6701</v>
          </cell>
        </row>
        <row r="48">
          <cell r="I48" t="str">
            <v>Gusti Pangestu, S.Kom., M.Kom.</v>
          </cell>
          <cell r="J48" t="str">
            <v>D6404</v>
          </cell>
        </row>
        <row r="49">
          <cell r="I49" t="str">
            <v>Hanugra Aulia Sidharta, S.T., M.MT.</v>
          </cell>
          <cell r="J49" t="str">
            <v>D5850</v>
          </cell>
        </row>
        <row r="50">
          <cell r="I50" t="str">
            <v>Hany Azza Umama, S.E., M.M.</v>
          </cell>
          <cell r="J50" t="str">
            <v>D7056</v>
          </cell>
        </row>
        <row r="51">
          <cell r="I51" t="str">
            <v>Harris Prasetya Rahmandika, S.M., M.M.</v>
          </cell>
          <cell r="J51" t="str">
            <v>D7058</v>
          </cell>
        </row>
        <row r="52">
          <cell r="I52" t="str">
            <v>Helena Hanindya Kartika Putri, S.S., MBA</v>
          </cell>
          <cell r="J52" t="str">
            <v>D6605</v>
          </cell>
        </row>
        <row r="53">
          <cell r="I53" t="str">
            <v>Hera Rachmahani, S.M., M.S.M.</v>
          </cell>
          <cell r="J53" t="str">
            <v>D6166</v>
          </cell>
        </row>
        <row r="54">
          <cell r="I54" t="str">
            <v>Hilmi Dzakaaul Islam, S.Ds., M.Ds.</v>
          </cell>
          <cell r="J54" t="str">
            <v>D6790</v>
          </cell>
        </row>
        <row r="55">
          <cell r="I55" t="str">
            <v>Hindam Basith Rafiqi, S.Sn., M.Sn.</v>
          </cell>
          <cell r="J55" t="str">
            <v>D6392</v>
          </cell>
        </row>
        <row r="56">
          <cell r="I56" t="str">
            <v>Ida Bagus Ananta Wijaya, S.T., M.T.</v>
          </cell>
          <cell r="J56" t="str">
            <v>D6104</v>
          </cell>
        </row>
        <row r="57">
          <cell r="I57" t="str">
            <v>Ir. Fourry Handoko, S.T., S.S., M.T., Ph.D.</v>
          </cell>
          <cell r="J57" t="str">
            <v>D6916</v>
          </cell>
        </row>
        <row r="58">
          <cell r="I58" t="str">
            <v>Ir. Simeon Yuda Prasetyo, S.Kom., M.Kom.</v>
          </cell>
          <cell r="J58" t="str">
            <v>D6834</v>
          </cell>
        </row>
        <row r="59">
          <cell r="I59" t="str">
            <v>Ira Audia Agustina, S.T., M.Ds.</v>
          </cell>
          <cell r="J59" t="str">
            <v>D6077</v>
          </cell>
        </row>
        <row r="60">
          <cell r="I60" t="str">
            <v>Jevon Jeremy, S.Ds., M.Sn.</v>
          </cell>
          <cell r="J60" t="str">
            <v>D6875</v>
          </cell>
        </row>
        <row r="61">
          <cell r="I61" t="str">
            <v>Krismi Budi Sienatra, S.E., M.M.</v>
          </cell>
          <cell r="J61" t="str">
            <v>D6966</v>
          </cell>
        </row>
        <row r="62">
          <cell r="I62" t="str">
            <v>Lailatul Rif'ah, S.Pd., M.Pd.</v>
          </cell>
          <cell r="J62" t="str">
            <v>D6381</v>
          </cell>
        </row>
        <row r="63">
          <cell r="I63" t="str">
            <v>Lila Nathania, S.I.Kom., M.Litt.</v>
          </cell>
          <cell r="J63" t="str">
            <v>D6295</v>
          </cell>
        </row>
        <row r="64">
          <cell r="I64" t="str">
            <v>Lutfi Tri Atmaji, S.T., M.Sn.</v>
          </cell>
          <cell r="J64" t="str">
            <v>D6103</v>
          </cell>
        </row>
        <row r="65">
          <cell r="I65" t="str">
            <v>M. Aldiki Febriantono, S.T., M.T.</v>
          </cell>
          <cell r="J65" t="str">
            <v>D6394</v>
          </cell>
        </row>
        <row r="66">
          <cell r="I66" t="str">
            <v>Mardhatilah Shanti, S.E., M.M.</v>
          </cell>
          <cell r="J66" t="str">
            <v>D6284</v>
          </cell>
        </row>
        <row r="67">
          <cell r="I67" t="str">
            <v>Miftahul Hamim, S.Pd., M.Pd.</v>
          </cell>
          <cell r="J67" t="str">
            <v>D6336</v>
          </cell>
        </row>
        <row r="68">
          <cell r="I68" t="str">
            <v>Milkhatussyafa'ah Taufiq, S.T., M.T.</v>
          </cell>
          <cell r="J68" t="str">
            <v>D6747</v>
          </cell>
        </row>
        <row r="69">
          <cell r="I69" t="str">
            <v>Miranti Nurul Huda, S.Sn., M.Ds.</v>
          </cell>
          <cell r="J69" t="str">
            <v>D5942</v>
          </cell>
        </row>
        <row r="70">
          <cell r="I70" t="str">
            <v>Mirza Ramadhani, S.Kom., M.Kom.</v>
          </cell>
          <cell r="J70" t="str">
            <v>D6261</v>
          </cell>
        </row>
        <row r="71">
          <cell r="I71" t="str">
            <v>Mufida Sekardhani, S.E., MBA</v>
          </cell>
          <cell r="J71" t="str">
            <v>D6587</v>
          </cell>
        </row>
        <row r="72">
          <cell r="I72" t="str">
            <v>Mufidah Nur Amalia, S.Pd., M.Pd.</v>
          </cell>
          <cell r="J72" t="str">
            <v>D6337</v>
          </cell>
        </row>
        <row r="73">
          <cell r="I73" t="str">
            <v>Muhammad Idham Sofyan, S.E., M.M.</v>
          </cell>
          <cell r="J73" t="str">
            <v>D5390</v>
          </cell>
        </row>
        <row r="74">
          <cell r="I74" t="str">
            <v>Muhammad Khirzan Ulinnuha, S.T., M.Sn.</v>
          </cell>
          <cell r="J74" t="str">
            <v>D6874</v>
          </cell>
        </row>
        <row r="75">
          <cell r="I75" t="str">
            <v>Muhammad Reza Alfasina, S.Ag., M.Phil.</v>
          </cell>
          <cell r="J75" t="str">
            <v>D6923</v>
          </cell>
        </row>
        <row r="76">
          <cell r="I76" t="str">
            <v>Ni Putu Elvian Andreani, S.Ds., M.Ds.</v>
          </cell>
          <cell r="J76" t="str">
            <v>D6917</v>
          </cell>
        </row>
        <row r="77">
          <cell r="I77" t="str">
            <v>Nina Amalia Nurichsania, S.Pd., M.Pd.</v>
          </cell>
          <cell r="J77" t="str">
            <v>D6112</v>
          </cell>
        </row>
        <row r="78">
          <cell r="I78" t="str">
            <v>Nisrin Husna, S.I.Kom., M.I.Kom.</v>
          </cell>
          <cell r="J78" t="str">
            <v>D5936</v>
          </cell>
        </row>
        <row r="79">
          <cell r="I79" t="str">
            <v>Nur Kholis, S.S., M.I.Kom</v>
          </cell>
          <cell r="J79" t="str">
            <v>D5911</v>
          </cell>
        </row>
        <row r="80">
          <cell r="I80" t="str">
            <v>Nur Yudiono, S.AB., M.AB.</v>
          </cell>
          <cell r="J80" t="str">
            <v>D7057</v>
          </cell>
        </row>
        <row r="81">
          <cell r="I81" t="str">
            <v>Nyoman Wira Prasetya, S.Kom., M.T., M. Sc.</v>
          </cell>
          <cell r="J81" t="str">
            <v>D6494</v>
          </cell>
        </row>
        <row r="82">
          <cell r="I82" t="str">
            <v>Okky Pramudita, S.I.Kom., M.I.Kom</v>
          </cell>
          <cell r="J82" t="str">
            <v>D6395</v>
          </cell>
        </row>
        <row r="83">
          <cell r="I83" t="str">
            <v>Pandu Meidian Pratama, S.Pd., M.Pd.</v>
          </cell>
          <cell r="J83" t="str">
            <v>D6335</v>
          </cell>
        </row>
        <row r="84">
          <cell r="I84" t="str">
            <v>Priska Arindya Purnama, S.Si., M.Si.</v>
          </cell>
          <cell r="J84" t="str">
            <v>D6067</v>
          </cell>
        </row>
        <row r="85">
          <cell r="I85" t="str">
            <v>Priskardus Hermanto Candra, S.S., M.Hum.</v>
          </cell>
          <cell r="J85" t="str">
            <v>D6071</v>
          </cell>
        </row>
        <row r="86">
          <cell r="I86" t="str">
            <v>Radityo Widiatmojo, S.Sos., M.Si.</v>
          </cell>
          <cell r="J86" t="str">
            <v>D6773</v>
          </cell>
        </row>
        <row r="87">
          <cell r="I87" t="str">
            <v>Reven Praga Deva, S.Ds., M.Ds.</v>
          </cell>
          <cell r="J87" t="str">
            <v>D7026</v>
          </cell>
        </row>
        <row r="88">
          <cell r="I88" t="str">
            <v>Reyza Dwi Dzulqarnain Kahfi, S.Sn., M.Ds.</v>
          </cell>
          <cell r="J88" t="str">
            <v>D7000</v>
          </cell>
        </row>
        <row r="89">
          <cell r="I89" t="str">
            <v>Riefky Prabowo, S.E., M.A.B</v>
          </cell>
          <cell r="J89" t="str">
            <v>D6399</v>
          </cell>
        </row>
        <row r="90">
          <cell r="I90" t="str">
            <v>Riesta Devi Kumalasari, S.E., M.M.</v>
          </cell>
          <cell r="J90" t="str">
            <v>D5844</v>
          </cell>
        </row>
        <row r="91">
          <cell r="I91" t="str">
            <v>Rio Satria Nugroho, S.Hum., M.Med.Kom.</v>
          </cell>
          <cell r="J91" t="str">
            <v>D6926</v>
          </cell>
        </row>
        <row r="92">
          <cell r="I92" t="str">
            <v>Risca Kurnia Sari, S.E., M.M.</v>
          </cell>
          <cell r="J92" t="str">
            <v>D6866</v>
          </cell>
        </row>
        <row r="93">
          <cell r="I93" t="str">
            <v>Riza Rizqiyah, S.M., MBA</v>
          </cell>
          <cell r="J93" t="str">
            <v>D6553</v>
          </cell>
        </row>
        <row r="94">
          <cell r="I94" t="str">
            <v>Romanus Piter, S.Fil., M.Fil.</v>
          </cell>
          <cell r="J94" t="str">
            <v>D7051</v>
          </cell>
        </row>
        <row r="95">
          <cell r="I95" t="str">
            <v>Rudi Yulio Arindiono, S.T., M.A</v>
          </cell>
          <cell r="J95" t="str">
            <v>D6775</v>
          </cell>
        </row>
        <row r="96">
          <cell r="I96" t="str">
            <v>Safitri Aprillia Putri, S.Sn., M.Ds.</v>
          </cell>
          <cell r="J96" t="str">
            <v>D6496</v>
          </cell>
        </row>
        <row r="97">
          <cell r="I97" t="str">
            <v>Satria Fadil Persada, S.Kom., MBA., Ph.D.</v>
          </cell>
          <cell r="J97" t="str">
            <v>D6654</v>
          </cell>
        </row>
        <row r="98">
          <cell r="I98" t="str">
            <v>Satrya Dirgantara, ST, MSn</v>
          </cell>
          <cell r="J98" t="str">
            <v>D6262</v>
          </cell>
        </row>
        <row r="99">
          <cell r="I99" t="str">
            <v>Sidharta, S.Si., M.MT.</v>
          </cell>
          <cell r="J99" t="str">
            <v>D5848</v>
          </cell>
        </row>
        <row r="100">
          <cell r="I100" t="str">
            <v>Tiara Ika Widia Primadani, S.T., M.Ds.</v>
          </cell>
          <cell r="J100" t="str">
            <v>D6106</v>
          </cell>
        </row>
        <row r="101">
          <cell r="I101" t="str">
            <v>Veronica Swasti Paramitha, S.E., M.B.A.</v>
          </cell>
          <cell r="J101" t="str">
            <v>D7059</v>
          </cell>
        </row>
        <row r="102">
          <cell r="I102" t="str">
            <v>Victor Adiluhung Abednego, S.T., M.Ds.</v>
          </cell>
          <cell r="J102" t="str">
            <v>D5845</v>
          </cell>
        </row>
        <row r="103">
          <cell r="I103" t="str">
            <v>Wahyu Kristian Natalia, S.I.Kom., M.I.Kom.</v>
          </cell>
          <cell r="J103" t="str">
            <v>D6772</v>
          </cell>
        </row>
        <row r="104">
          <cell r="I104" t="str">
            <v>Wahyu Kurnia Dewi, S.Sn., M.Sn.</v>
          </cell>
          <cell r="J104" t="str">
            <v>D6497</v>
          </cell>
        </row>
        <row r="105">
          <cell r="I105" t="str">
            <v>Wahyu Waskito Putra, S.Sn., M.Sn.</v>
          </cell>
          <cell r="J105" t="str">
            <v>D6167</v>
          </cell>
        </row>
        <row r="106">
          <cell r="I106" t="str">
            <v>Wilyan Adiasari, S.E., M.M.</v>
          </cell>
          <cell r="J106" t="str">
            <v>D6561</v>
          </cell>
        </row>
        <row r="107">
          <cell r="I107" t="str">
            <v>Wina Permana Sari, S.T., M.Kom.</v>
          </cell>
          <cell r="J107" t="str">
            <v>D5975</v>
          </cell>
        </row>
        <row r="108">
          <cell r="I108" t="str">
            <v>Windaningsih, S.Sos., M.I.Kom</v>
          </cell>
          <cell r="J108" t="str">
            <v>D5567</v>
          </cell>
        </row>
        <row r="109">
          <cell r="I109" t="str">
            <v>Yanuarita Kusuma Permata Sari, S.Sosio., M.Med.Kom.</v>
          </cell>
          <cell r="J109" t="str">
            <v>D5839</v>
          </cell>
        </row>
        <row r="110">
          <cell r="I110" t="str">
            <v>Yongkie Angkawijaya, S.Sn., M.Ds.</v>
          </cell>
          <cell r="J110" t="str">
            <v>D6032</v>
          </cell>
        </row>
        <row r="111">
          <cell r="I111" t="str">
            <v>Yudhistya Ayu Kusumawati, S.Sn., M.Ds.</v>
          </cell>
          <cell r="J111" t="str">
            <v>D5838</v>
          </cell>
        </row>
        <row r="112">
          <cell r="I112" t="str">
            <v>Yulianto, S.Kom., M.Kom.</v>
          </cell>
          <cell r="J112" t="str">
            <v>D6671</v>
          </cell>
        </row>
        <row r="113">
          <cell r="I113" t="str">
            <v>Zainiyah Alfirdaus, S.M., M.SM.</v>
          </cell>
          <cell r="J113" t="str">
            <v>D6588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CF1C3-7B33-462C-A9BC-CAC074EF45CF}" name="Table1" displayName="Table1" ref="A1:J73" totalsRowShown="0" headerRowDxfId="22" headerRowBorderDxfId="21" tableBorderDxfId="20" totalsRowBorderDxfId="19">
  <autoFilter ref="A1:J73" xr:uid="{125CF1C3-7B33-462C-A9BC-CAC074EF45CF}"/>
  <sortState xmlns:xlrd2="http://schemas.microsoft.com/office/spreadsheetml/2017/richdata2" ref="A2:J73">
    <sortCondition ref="B1:B73"/>
  </sortState>
  <tableColumns count="10">
    <tableColumn id="1" xr3:uid="{48986C66-E5F6-4452-9905-A46736955EFD}" name="No" dataDxfId="18"/>
    <tableColumn id="2" xr3:uid="{B4494B84-4068-4716-8DC4-DCD33622BB32}" name="Periode" dataDxfId="17"/>
    <tableColumn id="3" xr3:uid="{E71A0E01-2B2D-42A6-8EED-237F1C4642F5}" name="FM" dataDxfId="16"/>
    <tableColumn id="7" xr3:uid="{70209503-6007-44F1-9996-223F8110B1DB}" name="Kode Dosen" dataDxfId="15"/>
    <tableColumn id="4" xr3:uid="{59676736-A383-4372-9870-44A9962D78F4}" name="Judul PKM" dataDxfId="14"/>
    <tableColumn id="5" xr3:uid="{EFBEDE7C-533D-47ED-B70C-4CBC7E187081}" name="Jenis PKM" dataDxfId="13"/>
    <tableColumn id="6" xr3:uid="{9370F2EB-835C-448C-8E12-FD5174CEDCB6}" name="Peserta" dataDxfId="12"/>
    <tableColumn id="8" xr3:uid="{B2B5B3EA-7AF7-444F-AEF0-CF190CBF4C97}" name="Skema Pendanaan" dataDxfId="11"/>
    <tableColumn id="9" xr3:uid="{766F1A34-367D-4002-9ABF-AC0D3D78F9D2}" name="Nama Mahasiswa" dataDxfId="10"/>
    <tableColumn id="10" xr3:uid="{225477E0-F989-41C2-AE0C-AC411ED5CE5D}" name="Link Ev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7C695-9285-44A3-BA5E-56E1627910A3}" name="Tabel2" displayName="Tabel2" ref="A1:G105" totalsRowShown="0" headerRowBorderDxfId="8" tableBorderDxfId="9" totalsRowBorderDxfId="7">
  <autoFilter ref="A1:G105" xr:uid="{BC87C695-9285-44A3-BA5E-56E1627910A3}"/>
  <tableColumns count="7">
    <tableColumn id="1" xr3:uid="{AEC43971-76E2-4094-A466-F3EA83B6D181}" name="Jurusan Binaan " dataDxfId="6"/>
    <tableColumn id="2" xr3:uid="{2B040AD3-6C59-4A40-9A1C-CF32C07E1F92}" name="Nama Dosen " dataDxfId="5"/>
    <tableColumn id="3" xr3:uid="{68D06301-7F82-4DAF-AB9E-BC631A53691A}" name="Kode Dosen" dataDxfId="4">
      <calculatedColumnFormula>VLOOKUP(B2,[1]Sheet2!$I$3:$J$113,2,0)</calculatedColumnFormula>
    </tableColumn>
    <tableColumn id="4" xr3:uid="{CF92BD0D-5B17-47E6-B438-9379E1AD4A46}" name="Jumlah Kegiatan PPM sampai 2 Juni 2025" dataDxfId="3"/>
    <tableColumn id="5" xr3:uid="{B1E61BE9-2720-4120-9FB4-CAE4AC367110}" name="Jumlah Lap" dataDxfId="2"/>
    <tableColumn id="6" xr3:uid="{CE6FE5BB-2026-47CA-A2CF-E93EEAE1E6EB}" name="Skor SEMENTARA" dataDxfId="1"/>
    <tableColumn id="7" xr3:uid="{A4244829-18B1-4681-9D98-19157891F040}" name="Keterangan : Minimal 1 Kegiatan Pk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nusianorg.sharepoint.com/sites/RCDC/_layouts/15/guestaccess.aspx?share=EmTF4aNU9H9JnGo8EdNbGjABUBxp3ZpMj3IVlj-CfJhPEA&amp;e=Skxs0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inusianorg.sharepoint.com/sites/RCDC/_layouts/15/guestaccess.aspx?share=EjLf-LoN7ilCkPtoaC4Fle4BcrIIH-D5-wjSHIfl9jhJoQ&amp;e=4c5Ay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inusianorg.sharepoint.com/sites/RCDC/_layouts/15/guestaccess.aspx?share=EjOVK2m9jDBNmsOOCCcOxVQBVoK_RN1jYfmNlyS_o8Hvng&amp;e=uOFSN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inusianorg.sharepoint.com/sites/RCDC/_layouts/15/guestaccess.aspx?share=Et6sH78dYSJLkDZhu5V0hqgBBFGPd56XfeLRVWxPGc3p8A&amp;e=DYQnMk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Eflina%20Mona/PKM%201?csf=1&amp;web=1&amp;e=QQpdRW" TargetMode="External"/><Relationship Id="rId2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dhimurti%20Citra%20Amalia/PKM%201?csf=1&amp;web=1&amp;e=3JzB9o" TargetMode="External"/><Relationship Id="rId4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briella%20Sagita/PKM%202?csf=1&amp;web=1&amp;e=k4j3sD" TargetMode="External"/><Relationship Id="rId4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Okky%20Pramudita?csf=1&amp;web=1&amp;e=2OqEVg" TargetMode="External"/><Relationship Id="rId6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briella%20Sagita?csf=1&amp;web=1&amp;e=zXriri" TargetMode="External"/><Relationship Id="rId6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dhimurti%20Citra%20Amalia?csf=1&amp;web=1&amp;e=X0dv7a" TargetMode="External"/><Relationship Id="rId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Gabriella%20Sagita?csf=1&amp;web=1&amp;e=gynYcK" TargetMode="External"/><Relationship Id="rId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Gabriella%20Sagita/PKM%202?csf=1&amp;web=1&amp;e=Bc0HB0" TargetMode="External"/><Relationship Id="rId1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Nisrin%20Husna?csf=1&amp;web=1&amp;e=ghUdZ4" TargetMode="External"/><Relationship Id="rId2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chmad%20Safiaji?csf=1&amp;web=1&amp;e=GWoamc" TargetMode="External"/><Relationship Id="rId1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Nisrin%20Husna?csf=1&amp;web=1&amp;e=CVLuPm" TargetMode="External"/><Relationship Id="rId2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Okky%20Pramudita?csf=1&amp;web=1&amp;e=HWus5T" TargetMode="External"/><Relationship Id="rId3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Eflina%20Mona?csf=1&amp;web=1&amp;e=wlSNiq" TargetMode="External"/><Relationship Id="rId3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Nisrin%20Husna?csf=1&amp;web=1&amp;e=8j3FqW" TargetMode="External"/><Relationship Id="rId4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Eflina%20Mona?csf=1&amp;web=1&amp;e=hx6ZvJ" TargetMode="External"/><Relationship Id="rId4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Okky%20Pramudita?csf=1&amp;web=1&amp;e=89mapr" TargetMode="External"/><Relationship Id="rId5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Achmad%20Safiaji?csf=1&amp;web=1&amp;e=qLGup2" TargetMode="External"/><Relationship Id="rId5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chmad%20Safiaji?csf=1&amp;web=1&amp;e=mCGVz0" TargetMode="External"/><Relationship Id="rId6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Nisrin%20Husna?csf=1&amp;web=1&amp;e=ROsLAb" TargetMode="External"/><Relationship Id="rId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Adhimurti%20Citra%20Amalia?csf=1&amp;web=1&amp;e=O9y7EW" TargetMode="External"/><Relationship Id="rId6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1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briella%20Sagita/PKM%202?csf=1&amp;web=1&amp;e=ErWmAy" TargetMode="External"/><Relationship Id="rId1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Okky%20Pramudita/PKM%202?csf=1&amp;web=1&amp;e=2P4QCT" TargetMode="External"/><Relationship Id="rId2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dhimurti%20Citra%20Amalia/PKM%202?csf=1&amp;web=1&amp;e=QCmiz5" TargetMode="External"/><Relationship Id="rId2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Eflina%20Mona/PKM%202?csf=1&amp;web=1&amp;e=pcSAHZ" TargetMode="External"/><Relationship Id="rId3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Okky%20Pramudita?csf=1&amp;web=1&amp;e=ieu4PV" TargetMode="External"/><Relationship Id="rId3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chmad%20Safiaji?csf=1&amp;web=1&amp;e=GnfdMq" TargetMode="External"/><Relationship Id="rId4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briella%20Sagita/PKM%201?csf=1&amp;web=1&amp;e=xDAOn7" TargetMode="External"/><Relationship Id="rId4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Nisrin%20Husna?csf=1&amp;web=1&amp;e=8um4kN" TargetMode="External"/><Relationship Id="rId5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Gabriella%20Sagita/PKM%201?csf=1&amp;web=1&amp;e=CH6iyu" TargetMode="External"/><Relationship Id="rId6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luh%20Ayu%20Safitri?csf=1&amp;web=1&amp;e=QnLO4k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Eflina%20Mona?csf=1&amp;web=1&amp;e=IQqKxA" TargetMode="External"/><Relationship Id="rId5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Gabriella%20Sagita?csf=1&amp;web=1&amp;e=u7kFty" TargetMode="External"/><Relationship Id="rId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Gabriella%20Sagita/PKM%201?csf=1&amp;web=1&amp;e=sSfrzT" TargetMode="External"/><Relationship Id="rId1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Galuh%20Ayu%20Safitri?csf=1&amp;web=1&amp;e=OlzRZH" TargetMode="External"/><Relationship Id="rId1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luh%20Ayu%20Safitri?csf=1&amp;web=1&amp;e=aUSeHp" TargetMode="External"/><Relationship Id="rId2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Galuh%20Ayu%20Safitri?csf=1&amp;web=1&amp;e=7dVpQx" TargetMode="External"/><Relationship Id="rId3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dhimurti%20Citra%20Amalia/PKM%201?csf=1&amp;web=1&amp;e=wuH7Gw" TargetMode="External"/><Relationship Id="rId3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Gabriella%20Sagita/PKM%202?csf=1&amp;web=1&amp;e=kmTcbZ" TargetMode="External"/><Relationship Id="rId4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Achmad%20Safiaji?csf=1&amp;web=1&amp;e=tN3Pl8" TargetMode="External"/><Relationship Id="rId5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6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Nisrin%20Husna?csf=1&amp;web=1&amp;e=ROsLAb" TargetMode="External"/><Relationship Id="rId2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Eflina%20Mona?csf=1&amp;web=1&amp;e=KbbMjh" TargetMode="External"/><Relationship Id="rId4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luh%20Ayu%20Safitri?csf=1&amp;web=1&amp;e=BTJgdT" TargetMode="External"/><Relationship Id="rId5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Gabriella%20Sagita?csf=1&amp;web=1&amp;e=OcBAsa" TargetMode="External"/><Relationship Id="rId6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Eflina%20Mona?csf=1&amp;web=1&amp;e=dRQhWK" TargetMode="External"/><Relationship Id="rId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Nisrin%20Husna?csf=1&amp;web=1&amp;e=J3wGo3" TargetMode="External"/><Relationship Id="rId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Galuh%20Ayu%20Safitri?csf=1&amp;web=1&amp;e=Jvofbt" TargetMode="External"/><Relationship Id="rId1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Okky%20Pramudita/PKM%201?csf=1&amp;web=1&amp;e=2ScV3f" TargetMode="External"/><Relationship Id="rId2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chmad%20Safiaji?csf=1&amp;web=1&amp;e=N1GMfZ" TargetMode="External"/><Relationship Id="rId2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dhi%20Murti%20Candra%20Amalia/PKM%202?csf=1&amp;web=1&amp;e=U0r9dx" TargetMode="External"/><Relationship Id="rId3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Okky%20Pramudita?csf=1&amp;web=1&amp;e=wwYIiv" TargetMode="External"/><Relationship Id="rId4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dhimurti%20Citra%20Amalia/PKM%201?csf=1&amp;web=1&amp;e=rQ1kGV" TargetMode="External"/><Relationship Id="rId5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Eflina%20Mona/PKM%201?csf=1&amp;web=1&amp;e=weUy9W" TargetMode="External"/><Relationship Id="rId1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Okky%20Pramudita?csf=1&amp;web=1&amp;e=HS2LCT" TargetMode="External"/><Relationship Id="rId3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Nisrin%20Husna?csf=1&amp;web=1&amp;e=NjYsHF" TargetMode="External"/><Relationship Id="rId4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dhimurti%20Citra%20Amalia/PKM%202?csf=1&amp;web=1&amp;e=h8oyuB" TargetMode="External"/><Relationship Id="rId5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Adhimurti%20Citra%20Amalia?csf=1&amp;web=1&amp;e=UHW98t" TargetMode="External"/><Relationship Id="rId6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6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luh%20Ayu%20Safitri?csf=1&amp;web=1&amp;e=QnLO4k" TargetMode="External"/><Relationship Id="rId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Efflina%20Mona?csf=1&amp;web=1&amp;e=YghxKG" TargetMode="External"/><Relationship Id="rId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chmad%20Safiaji?csf=1&amp;web=1&amp;e=CWMwt3" TargetMode="External"/><Relationship Id="rId1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Eflina%20Mona?csf=1&amp;web=1&amp;e=MfLcwe" TargetMode="External"/><Relationship Id="rId1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briella%20Sagita/PKM%201?csf=1&amp;web=1&amp;e=GnzS3q" TargetMode="External"/><Relationship Id="rId3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chmad%20Safiaji?csf=1&amp;web=1&amp;e=8Gw54y" TargetMode="External"/><Relationship Id="rId3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dhimurti%20Citra%20Amalia/PKM%202?csf=1&amp;web=1&amp;e=9Eyp1C" TargetMode="External"/><Relationship Id="rId5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dhimurti%20Citra%20Amalia/PKM%202?csf=1&amp;web=1&amp;e=W0hqKU" TargetMode="External"/><Relationship Id="rId5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dhi%20Murti%20Candra%20Amalia/PKM%201?csf=1&amp;web=1&amp;e=Y3pKs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D5AA-3946-4A14-B67B-16E092A3DA6E}">
  <dimension ref="B1:H26"/>
  <sheetViews>
    <sheetView topLeftCell="A4" workbookViewId="0">
      <selection activeCell="E15" sqref="E15"/>
    </sheetView>
  </sheetViews>
  <sheetFormatPr defaultRowHeight="15" x14ac:dyDescent="0.25"/>
  <cols>
    <col min="2" max="2" width="3.85546875" bestFit="1" customWidth="1"/>
    <col min="4" max="4" width="25" bestFit="1" customWidth="1"/>
    <col min="5" max="5" width="90.85546875" bestFit="1" customWidth="1"/>
    <col min="6" max="6" width="24.5703125" bestFit="1" customWidth="1"/>
    <col min="7" max="7" width="45.140625" bestFit="1" customWidth="1"/>
  </cols>
  <sheetData>
    <row r="1" spans="2:8" ht="24" x14ac:dyDescent="0.4">
      <c r="B1" s="43" t="s">
        <v>0</v>
      </c>
    </row>
    <row r="2" spans="2:8" ht="15.75" thickBot="1" x14ac:dyDescent="0.3">
      <c r="B2" s="44" t="s">
        <v>1</v>
      </c>
      <c r="D2" s="42" t="s">
        <v>0</v>
      </c>
      <c r="E2" s="42"/>
    </row>
    <row r="3" spans="2:8" x14ac:dyDescent="0.25"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33" t="s">
        <v>7</v>
      </c>
    </row>
    <row r="4" spans="2:8" x14ac:dyDescent="0.25">
      <c r="B4" s="7">
        <v>1</v>
      </c>
      <c r="C4" s="65" t="s">
        <v>8</v>
      </c>
      <c r="D4" s="3" t="s">
        <v>9</v>
      </c>
      <c r="E4" s="36" t="s">
        <v>10</v>
      </c>
      <c r="F4" s="3" t="s">
        <v>11</v>
      </c>
      <c r="G4" s="45" t="s">
        <v>12</v>
      </c>
    </row>
    <row r="5" spans="2:8" x14ac:dyDescent="0.25">
      <c r="B5" s="7">
        <v>2</v>
      </c>
      <c r="C5" s="65" t="s">
        <v>8</v>
      </c>
      <c r="D5" s="3" t="s">
        <v>13</v>
      </c>
      <c r="E5" s="37" t="s">
        <v>14</v>
      </c>
      <c r="F5" s="3" t="s">
        <v>11</v>
      </c>
      <c r="G5" s="46" t="s">
        <v>15</v>
      </c>
    </row>
    <row r="6" spans="2:8" x14ac:dyDescent="0.25">
      <c r="B6" s="7"/>
      <c r="C6" s="65" t="s">
        <v>8</v>
      </c>
      <c r="D6" s="3" t="s">
        <v>13</v>
      </c>
      <c r="E6" s="37" t="s">
        <v>16</v>
      </c>
      <c r="F6" s="3" t="s">
        <v>11</v>
      </c>
      <c r="G6" s="46" t="s">
        <v>17</v>
      </c>
    </row>
    <row r="7" spans="2:8" x14ac:dyDescent="0.25">
      <c r="B7" s="7"/>
      <c r="C7" s="65" t="s">
        <v>8</v>
      </c>
      <c r="D7" s="3" t="s">
        <v>13</v>
      </c>
      <c r="E7" s="37" t="s">
        <v>16</v>
      </c>
      <c r="F7" s="3" t="s">
        <v>11</v>
      </c>
      <c r="G7" s="46" t="s">
        <v>17</v>
      </c>
    </row>
    <row r="8" spans="2:8" x14ac:dyDescent="0.25">
      <c r="B8" s="7">
        <v>3</v>
      </c>
      <c r="C8" s="65" t="s">
        <v>8</v>
      </c>
      <c r="D8" s="3" t="s">
        <v>18</v>
      </c>
      <c r="E8" s="36" t="s">
        <v>19</v>
      </c>
      <c r="F8" s="3" t="s">
        <v>11</v>
      </c>
      <c r="G8" s="47" t="s">
        <v>20</v>
      </c>
    </row>
    <row r="9" spans="2:8" x14ac:dyDescent="0.25">
      <c r="B9" s="7">
        <v>4</v>
      </c>
      <c r="C9" s="65" t="s">
        <v>8</v>
      </c>
      <c r="D9" s="3" t="s">
        <v>21</v>
      </c>
      <c r="E9" s="37" t="s">
        <v>22</v>
      </c>
      <c r="F9" s="3" t="s">
        <v>11</v>
      </c>
      <c r="G9" s="47" t="s">
        <v>23</v>
      </c>
    </row>
    <row r="10" spans="2:8" x14ac:dyDescent="0.25">
      <c r="B10" s="7">
        <v>5</v>
      </c>
      <c r="C10" s="65" t="s">
        <v>8</v>
      </c>
      <c r="D10" s="3" t="s">
        <v>24</v>
      </c>
      <c r="E10" s="37" t="s">
        <v>25</v>
      </c>
      <c r="F10" s="3" t="s">
        <v>11</v>
      </c>
      <c r="G10" s="47" t="s">
        <v>17</v>
      </c>
    </row>
    <row r="11" spans="2:8" x14ac:dyDescent="0.25">
      <c r="B11" s="7"/>
      <c r="C11" s="65" t="s">
        <v>8</v>
      </c>
      <c r="D11" s="3" t="s">
        <v>24</v>
      </c>
      <c r="E11" s="38" t="s">
        <v>26</v>
      </c>
      <c r="F11" s="3" t="s">
        <v>11</v>
      </c>
      <c r="G11" s="47" t="s">
        <v>27</v>
      </c>
      <c r="H11" s="42"/>
    </row>
    <row r="12" spans="2:8" x14ac:dyDescent="0.25">
      <c r="B12" s="7">
        <v>6</v>
      </c>
      <c r="C12" s="65" t="s">
        <v>8</v>
      </c>
      <c r="D12" s="3" t="s">
        <v>28</v>
      </c>
      <c r="E12" s="37" t="s">
        <v>29</v>
      </c>
      <c r="F12" s="3" t="s">
        <v>11</v>
      </c>
      <c r="G12" s="47" t="s">
        <v>30</v>
      </c>
    </row>
    <row r="13" spans="2:8" x14ac:dyDescent="0.25">
      <c r="B13" s="7"/>
      <c r="C13" s="65" t="s">
        <v>8</v>
      </c>
      <c r="D13" s="3" t="s">
        <v>28</v>
      </c>
      <c r="E13" s="37" t="s">
        <v>31</v>
      </c>
      <c r="F13" s="3" t="s">
        <v>11</v>
      </c>
      <c r="G13" s="47" t="s">
        <v>27</v>
      </c>
    </row>
    <row r="14" spans="2:8" x14ac:dyDescent="0.25">
      <c r="B14" s="8">
        <v>7</v>
      </c>
      <c r="C14" s="65" t="s">
        <v>8</v>
      </c>
      <c r="D14" s="4" t="s">
        <v>32</v>
      </c>
      <c r="E14" s="39" t="s">
        <v>33</v>
      </c>
      <c r="F14" s="4" t="s">
        <v>33</v>
      </c>
      <c r="G14" s="48" t="s">
        <v>33</v>
      </c>
    </row>
    <row r="15" spans="2:8" ht="16.5" x14ac:dyDescent="0.3">
      <c r="B15" s="100">
        <v>8</v>
      </c>
      <c r="C15" s="65" t="s">
        <v>8</v>
      </c>
      <c r="D15" s="101" t="s">
        <v>34</v>
      </c>
      <c r="E15" s="102" t="s">
        <v>35</v>
      </c>
      <c r="F15" s="101" t="s">
        <v>11</v>
      </c>
      <c r="G15" s="103" t="s">
        <v>36</v>
      </c>
    </row>
    <row r="16" spans="2:8" ht="16.5" x14ac:dyDescent="0.3">
      <c r="B16" s="9"/>
      <c r="C16" s="5"/>
      <c r="D16" s="5"/>
      <c r="E16" s="99"/>
      <c r="F16" s="5"/>
      <c r="G16" s="49"/>
    </row>
    <row r="17" spans="2:7" ht="16.5" x14ac:dyDescent="0.3">
      <c r="B17" s="7">
        <v>1</v>
      </c>
      <c r="C17" s="64" t="s">
        <v>37</v>
      </c>
      <c r="D17" s="3" t="s">
        <v>9</v>
      </c>
      <c r="E17" s="98"/>
      <c r="F17" s="3" t="s">
        <v>38</v>
      </c>
      <c r="G17" s="50" t="s">
        <v>39</v>
      </c>
    </row>
    <row r="18" spans="2:7" x14ac:dyDescent="0.25">
      <c r="B18" s="7">
        <v>2</v>
      </c>
      <c r="C18" s="64" t="s">
        <v>37</v>
      </c>
      <c r="D18" s="3" t="s">
        <v>13</v>
      </c>
      <c r="E18" s="37" t="s">
        <v>40</v>
      </c>
      <c r="F18" s="3" t="s">
        <v>38</v>
      </c>
      <c r="G18" s="50" t="s">
        <v>39</v>
      </c>
    </row>
    <row r="19" spans="2:7" x14ac:dyDescent="0.25">
      <c r="B19" s="7"/>
      <c r="C19" s="64" t="s">
        <v>37</v>
      </c>
      <c r="D19" s="3" t="s">
        <v>13</v>
      </c>
      <c r="E19" s="37" t="s">
        <v>41</v>
      </c>
      <c r="F19" s="3" t="s">
        <v>38</v>
      </c>
      <c r="G19" s="50" t="s">
        <v>39</v>
      </c>
    </row>
    <row r="20" spans="2:7" x14ac:dyDescent="0.25">
      <c r="B20" s="7">
        <v>3</v>
      </c>
      <c r="C20" s="64" t="s">
        <v>37</v>
      </c>
      <c r="D20" s="3" t="s">
        <v>18</v>
      </c>
      <c r="E20" s="36" t="s">
        <v>42</v>
      </c>
      <c r="F20" s="3" t="s">
        <v>38</v>
      </c>
      <c r="G20" s="50" t="s">
        <v>39</v>
      </c>
    </row>
    <row r="21" spans="2:7" x14ac:dyDescent="0.25">
      <c r="B21" s="7">
        <v>4</v>
      </c>
      <c r="C21" s="64" t="s">
        <v>37</v>
      </c>
      <c r="D21" s="3" t="s">
        <v>21</v>
      </c>
      <c r="E21" s="40" t="s">
        <v>43</v>
      </c>
      <c r="F21" s="3" t="s">
        <v>38</v>
      </c>
      <c r="G21" s="50" t="s">
        <v>39</v>
      </c>
    </row>
    <row r="22" spans="2:7" x14ac:dyDescent="0.25">
      <c r="B22" s="7"/>
      <c r="C22" s="64" t="s">
        <v>37</v>
      </c>
      <c r="D22" s="3" t="s">
        <v>21</v>
      </c>
      <c r="E22" s="36" t="s">
        <v>44</v>
      </c>
      <c r="F22" s="3" t="s">
        <v>38</v>
      </c>
      <c r="G22" s="50" t="s">
        <v>39</v>
      </c>
    </row>
    <row r="23" spans="2:7" x14ac:dyDescent="0.25">
      <c r="B23" s="7">
        <v>5</v>
      </c>
      <c r="C23" s="64" t="s">
        <v>37</v>
      </c>
      <c r="D23" s="3" t="s">
        <v>24</v>
      </c>
      <c r="E23" s="37" t="s">
        <v>45</v>
      </c>
      <c r="F23" s="3" t="s">
        <v>38</v>
      </c>
      <c r="G23" s="50" t="s">
        <v>39</v>
      </c>
    </row>
    <row r="24" spans="2:7" x14ac:dyDescent="0.25">
      <c r="B24" s="7">
        <v>6</v>
      </c>
      <c r="C24" s="64" t="s">
        <v>37</v>
      </c>
      <c r="D24" s="3" t="s">
        <v>28</v>
      </c>
      <c r="E24" s="37" t="s">
        <v>46</v>
      </c>
      <c r="F24" s="3" t="s">
        <v>38</v>
      </c>
      <c r="G24" s="50" t="s">
        <v>39</v>
      </c>
    </row>
    <row r="25" spans="2:7" x14ac:dyDescent="0.25">
      <c r="B25" s="32">
        <v>7</v>
      </c>
      <c r="C25" s="64" t="s">
        <v>37</v>
      </c>
      <c r="D25" s="34" t="s">
        <v>32</v>
      </c>
      <c r="E25" s="41" t="s">
        <v>47</v>
      </c>
      <c r="F25" s="34" t="s">
        <v>38</v>
      </c>
      <c r="G25" s="51" t="s">
        <v>39</v>
      </c>
    </row>
    <row r="26" spans="2:7" ht="15.75" thickBot="1" x14ac:dyDescent="0.3">
      <c r="B26" s="35"/>
      <c r="C26" s="64" t="s">
        <v>37</v>
      </c>
      <c r="D26" s="34" t="s">
        <v>32</v>
      </c>
      <c r="E26" s="22" t="s">
        <v>48</v>
      </c>
      <c r="F26" s="11" t="s">
        <v>38</v>
      </c>
      <c r="G26" s="52" t="s">
        <v>39</v>
      </c>
    </row>
  </sheetData>
  <phoneticPr fontId="10" type="noConversion"/>
  <hyperlinks>
    <hyperlink ref="D2" r:id="rId1" display="https://binusianorg.sharepoint.com/sites/RCDC/_layouts/15/guestaccess.aspx?share=EmTF4aNU9H9JnGo8EdNbGjABUBxp3ZpMj3IVlj-CfJhPEA&amp;e=Skxs0v" xr:uid="{9484BB48-2331-4A84-B276-057AA2FFD7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631F-2E90-4196-9A01-2174B843E348}">
  <dimension ref="B1:G21"/>
  <sheetViews>
    <sheetView topLeftCell="A14" workbookViewId="0">
      <selection activeCell="D2" sqref="D2"/>
    </sheetView>
  </sheetViews>
  <sheetFormatPr defaultRowHeight="15" x14ac:dyDescent="0.25"/>
  <cols>
    <col min="2" max="2" width="3.85546875" bestFit="1" customWidth="1"/>
    <col min="3" max="3" width="8.7109375"/>
    <col min="4" max="4" width="25" bestFit="1" customWidth="1"/>
    <col min="5" max="5" width="66" bestFit="1" customWidth="1"/>
    <col min="6" max="6" width="24.5703125" bestFit="1" customWidth="1"/>
    <col min="7" max="7" width="49" bestFit="1" customWidth="1"/>
  </cols>
  <sheetData>
    <row r="1" spans="2:7" ht="24" x14ac:dyDescent="0.4">
      <c r="B1" s="43" t="s">
        <v>49</v>
      </c>
    </row>
    <row r="2" spans="2:7" ht="15.75" thickBot="1" x14ac:dyDescent="0.3">
      <c r="B2" t="s">
        <v>50</v>
      </c>
      <c r="D2" s="42" t="s">
        <v>49</v>
      </c>
    </row>
    <row r="3" spans="2:7" x14ac:dyDescent="0.25"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33" t="s">
        <v>7</v>
      </c>
    </row>
    <row r="4" spans="2:7" x14ac:dyDescent="0.25">
      <c r="B4" s="7">
        <v>1</v>
      </c>
      <c r="C4" s="65" t="s">
        <v>51</v>
      </c>
      <c r="D4" s="23" t="s">
        <v>9</v>
      </c>
      <c r="E4" s="29" t="s">
        <v>52</v>
      </c>
      <c r="F4" s="23" t="s">
        <v>38</v>
      </c>
      <c r="G4" s="57" t="s">
        <v>39</v>
      </c>
    </row>
    <row r="5" spans="2:7" x14ac:dyDescent="0.25">
      <c r="B5" s="7">
        <v>2</v>
      </c>
      <c r="C5" s="65" t="s">
        <v>51</v>
      </c>
      <c r="D5" s="23" t="s">
        <v>13</v>
      </c>
      <c r="E5" s="29" t="s">
        <v>53</v>
      </c>
      <c r="F5" s="23" t="s">
        <v>11</v>
      </c>
      <c r="G5" s="57" t="s">
        <v>54</v>
      </c>
    </row>
    <row r="6" spans="2:7" x14ac:dyDescent="0.25">
      <c r="B6" s="7"/>
      <c r="C6" s="65" t="s">
        <v>51</v>
      </c>
      <c r="D6" s="23" t="s">
        <v>13</v>
      </c>
      <c r="E6" s="24" t="s">
        <v>55</v>
      </c>
      <c r="F6" s="23" t="s">
        <v>56</v>
      </c>
      <c r="G6" s="58" t="s">
        <v>57</v>
      </c>
    </row>
    <row r="7" spans="2:7" x14ac:dyDescent="0.25">
      <c r="B7" s="7">
        <v>3</v>
      </c>
      <c r="C7" s="65" t="s">
        <v>51</v>
      </c>
      <c r="D7" s="23" t="s">
        <v>18</v>
      </c>
      <c r="E7" s="24" t="s">
        <v>58</v>
      </c>
      <c r="F7" s="23" t="s">
        <v>11</v>
      </c>
      <c r="G7" s="57" t="s">
        <v>59</v>
      </c>
    </row>
    <row r="8" spans="2:7" ht="28.5" x14ac:dyDescent="0.25">
      <c r="B8" s="7"/>
      <c r="C8" s="65" t="s">
        <v>51</v>
      </c>
      <c r="D8" s="23" t="s">
        <v>18</v>
      </c>
      <c r="E8" s="24" t="s">
        <v>52</v>
      </c>
      <c r="F8" s="23" t="s">
        <v>38</v>
      </c>
      <c r="G8" s="57" t="s">
        <v>39</v>
      </c>
    </row>
    <row r="9" spans="2:7" x14ac:dyDescent="0.25">
      <c r="B9" s="7">
        <v>4</v>
      </c>
      <c r="C9" s="65" t="s">
        <v>51</v>
      </c>
      <c r="D9" s="23" t="s">
        <v>21</v>
      </c>
      <c r="E9" s="29" t="s">
        <v>60</v>
      </c>
      <c r="F9" s="23" t="s">
        <v>11</v>
      </c>
      <c r="G9" s="57" t="s">
        <v>61</v>
      </c>
    </row>
    <row r="10" spans="2:7" x14ac:dyDescent="0.25">
      <c r="B10" s="7"/>
      <c r="C10" s="65" t="s">
        <v>51</v>
      </c>
      <c r="D10" s="23" t="s">
        <v>21</v>
      </c>
      <c r="E10" s="29" t="s">
        <v>62</v>
      </c>
      <c r="F10" s="23" t="s">
        <v>38</v>
      </c>
      <c r="G10" s="57" t="s">
        <v>39</v>
      </c>
    </row>
    <row r="11" spans="2:7" x14ac:dyDescent="0.25">
      <c r="B11" s="8">
        <v>5</v>
      </c>
      <c r="C11" s="65" t="s">
        <v>51</v>
      </c>
      <c r="D11" s="27" t="s">
        <v>24</v>
      </c>
      <c r="E11" s="28" t="s">
        <v>33</v>
      </c>
      <c r="F11" s="27" t="s">
        <v>33</v>
      </c>
      <c r="G11" s="59" t="s">
        <v>33</v>
      </c>
    </row>
    <row r="12" spans="2:7" x14ac:dyDescent="0.25">
      <c r="B12" s="7">
        <v>6</v>
      </c>
      <c r="C12" s="65" t="s">
        <v>51</v>
      </c>
      <c r="D12" s="23" t="s">
        <v>28</v>
      </c>
      <c r="E12" s="30" t="s">
        <v>63</v>
      </c>
      <c r="F12" s="23" t="s">
        <v>38</v>
      </c>
      <c r="G12" s="57" t="s">
        <v>39</v>
      </c>
    </row>
    <row r="13" spans="2:7" x14ac:dyDescent="0.25">
      <c r="B13" s="7">
        <v>7</v>
      </c>
      <c r="C13" s="65" t="s">
        <v>51</v>
      </c>
      <c r="D13" s="23" t="s">
        <v>32</v>
      </c>
      <c r="E13" s="29" t="s">
        <v>64</v>
      </c>
      <c r="F13" s="23" t="s">
        <v>38</v>
      </c>
      <c r="G13" s="57" t="s">
        <v>39</v>
      </c>
    </row>
    <row r="14" spans="2:7" x14ac:dyDescent="0.25">
      <c r="B14" s="9"/>
      <c r="C14" s="5"/>
      <c r="D14" s="25"/>
      <c r="E14" s="25"/>
      <c r="F14" s="25"/>
      <c r="G14" s="60"/>
    </row>
    <row r="15" spans="2:7" x14ac:dyDescent="0.25">
      <c r="B15" s="7">
        <v>1</v>
      </c>
      <c r="C15" s="65" t="s">
        <v>65</v>
      </c>
      <c r="D15" s="23" t="s">
        <v>9</v>
      </c>
      <c r="E15" s="29" t="s">
        <v>66</v>
      </c>
      <c r="F15" s="23" t="s">
        <v>11</v>
      </c>
      <c r="G15" s="61" t="s">
        <v>67</v>
      </c>
    </row>
    <row r="16" spans="2:7" x14ac:dyDescent="0.25">
      <c r="B16" s="7">
        <v>2</v>
      </c>
      <c r="C16" s="65" t="s">
        <v>65</v>
      </c>
      <c r="D16" s="23" t="s">
        <v>13</v>
      </c>
      <c r="E16" s="29" t="s">
        <v>68</v>
      </c>
      <c r="F16" s="23" t="s">
        <v>11</v>
      </c>
      <c r="G16" s="57" t="s">
        <v>69</v>
      </c>
    </row>
    <row r="17" spans="2:7" x14ac:dyDescent="0.25">
      <c r="B17" s="7">
        <v>3</v>
      </c>
      <c r="C17" s="65" t="s">
        <v>65</v>
      </c>
      <c r="D17" s="23" t="s">
        <v>18</v>
      </c>
      <c r="E17" s="24" t="s">
        <v>70</v>
      </c>
      <c r="F17" s="23" t="s">
        <v>38</v>
      </c>
      <c r="G17" s="57" t="s">
        <v>39</v>
      </c>
    </row>
    <row r="18" spans="2:7" x14ac:dyDescent="0.25">
      <c r="B18" s="7">
        <v>4</v>
      </c>
      <c r="C18" s="65" t="s">
        <v>65</v>
      </c>
      <c r="D18" s="23" t="s">
        <v>21</v>
      </c>
      <c r="E18" s="29" t="s">
        <v>71</v>
      </c>
      <c r="F18" s="23" t="s">
        <v>11</v>
      </c>
      <c r="G18" s="57" t="s">
        <v>69</v>
      </c>
    </row>
    <row r="19" spans="2:7" x14ac:dyDescent="0.25">
      <c r="B19" s="7">
        <v>5</v>
      </c>
      <c r="C19" s="65" t="s">
        <v>65</v>
      </c>
      <c r="D19" s="23" t="s">
        <v>24</v>
      </c>
      <c r="E19" s="29" t="s">
        <v>72</v>
      </c>
      <c r="F19" s="23" t="s">
        <v>38</v>
      </c>
      <c r="G19" s="57" t="s">
        <v>39</v>
      </c>
    </row>
    <row r="20" spans="2:7" x14ac:dyDescent="0.25">
      <c r="B20" s="7">
        <v>6</v>
      </c>
      <c r="C20" s="65" t="s">
        <v>65</v>
      </c>
      <c r="D20" s="23" t="s">
        <v>28</v>
      </c>
      <c r="E20" s="24" t="s">
        <v>73</v>
      </c>
      <c r="F20" s="23" t="s">
        <v>38</v>
      </c>
      <c r="G20" s="57" t="s">
        <v>39</v>
      </c>
    </row>
    <row r="21" spans="2:7" ht="15.75" thickBot="1" x14ac:dyDescent="0.3">
      <c r="B21" s="10">
        <v>7</v>
      </c>
      <c r="C21" s="65" t="s">
        <v>65</v>
      </c>
      <c r="D21" s="26" t="s">
        <v>32</v>
      </c>
      <c r="E21" s="31" t="s">
        <v>74</v>
      </c>
      <c r="F21" s="26" t="s">
        <v>38</v>
      </c>
      <c r="G21" s="62" t="s">
        <v>39</v>
      </c>
    </row>
  </sheetData>
  <phoneticPr fontId="10" type="noConversion"/>
  <hyperlinks>
    <hyperlink ref="D2" r:id="rId1" display="https://binusianorg.sharepoint.com/sites/RCDC/_layouts/15/guestaccess.aspx?share=EjLf-LoN7ilCkPtoaC4Fle4BcrIIH-D5-wjSHIfl9jhJoQ&amp;e=4c5Ayg" xr:uid="{B2D9D5FB-3A8B-4E30-8651-EB25D9AE92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C938-F881-41C0-8488-2431CD9EDE37}">
  <dimension ref="B1:G21"/>
  <sheetViews>
    <sheetView zoomScaleNormal="100" workbookViewId="0">
      <selection activeCell="E2" sqref="E2"/>
    </sheetView>
  </sheetViews>
  <sheetFormatPr defaultRowHeight="15" x14ac:dyDescent="0.25"/>
  <cols>
    <col min="2" max="2" width="3.85546875" bestFit="1" customWidth="1"/>
    <col min="4" max="4" width="25" bestFit="1" customWidth="1"/>
    <col min="5" max="5" width="79.42578125" bestFit="1" customWidth="1"/>
    <col min="6" max="6" width="24.5703125" bestFit="1" customWidth="1"/>
    <col min="7" max="7" width="45.42578125" bestFit="1" customWidth="1"/>
  </cols>
  <sheetData>
    <row r="1" spans="2:7" ht="24" x14ac:dyDescent="0.4">
      <c r="B1" s="43" t="s">
        <v>75</v>
      </c>
    </row>
    <row r="2" spans="2:7" ht="15.75" thickBot="1" x14ac:dyDescent="0.3">
      <c r="B2" t="s">
        <v>50</v>
      </c>
      <c r="D2" s="42" t="s">
        <v>75</v>
      </c>
    </row>
    <row r="3" spans="2:7" x14ac:dyDescent="0.25"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33" t="s">
        <v>7</v>
      </c>
    </row>
    <row r="4" spans="2:7" x14ac:dyDescent="0.25">
      <c r="B4" s="7">
        <v>1</v>
      </c>
      <c r="C4" s="65" t="s">
        <v>76</v>
      </c>
      <c r="D4" s="3" t="s">
        <v>9</v>
      </c>
      <c r="E4" s="20" t="s">
        <v>77</v>
      </c>
      <c r="F4" s="3" t="s">
        <v>38</v>
      </c>
      <c r="G4" s="47" t="s">
        <v>39</v>
      </c>
    </row>
    <row r="5" spans="2:7" x14ac:dyDescent="0.25">
      <c r="B5" s="7">
        <v>2</v>
      </c>
      <c r="C5" s="65" t="s">
        <v>76</v>
      </c>
      <c r="D5" s="3" t="s">
        <v>13</v>
      </c>
      <c r="E5" s="21" t="s">
        <v>78</v>
      </c>
      <c r="F5" s="3" t="s">
        <v>38</v>
      </c>
      <c r="G5" s="47" t="s">
        <v>39</v>
      </c>
    </row>
    <row r="6" spans="2:7" x14ac:dyDescent="0.25">
      <c r="B6" s="7"/>
      <c r="C6" s="65" t="s">
        <v>76</v>
      </c>
      <c r="D6" s="3" t="s">
        <v>13</v>
      </c>
      <c r="E6" s="21" t="s">
        <v>79</v>
      </c>
      <c r="F6" s="3" t="s">
        <v>38</v>
      </c>
      <c r="G6" s="47" t="s">
        <v>80</v>
      </c>
    </row>
    <row r="7" spans="2:7" x14ac:dyDescent="0.25">
      <c r="B7" s="7">
        <v>3</v>
      </c>
      <c r="C7" s="65" t="s">
        <v>76</v>
      </c>
      <c r="D7" s="3" t="s">
        <v>18</v>
      </c>
      <c r="E7" s="20" t="s">
        <v>81</v>
      </c>
      <c r="F7" s="3" t="s">
        <v>38</v>
      </c>
      <c r="G7" s="47" t="s">
        <v>39</v>
      </c>
    </row>
    <row r="8" spans="2:7" x14ac:dyDescent="0.25">
      <c r="B8" s="7">
        <v>4</v>
      </c>
      <c r="C8" s="65" t="s">
        <v>76</v>
      </c>
      <c r="D8" s="3" t="s">
        <v>21</v>
      </c>
      <c r="E8" s="20" t="s">
        <v>82</v>
      </c>
      <c r="F8" s="3" t="s">
        <v>56</v>
      </c>
      <c r="G8" s="47" t="s">
        <v>83</v>
      </c>
    </row>
    <row r="9" spans="2:7" x14ac:dyDescent="0.25">
      <c r="B9" s="7"/>
      <c r="C9" s="65" t="s">
        <v>76</v>
      </c>
      <c r="D9" s="3" t="s">
        <v>21</v>
      </c>
      <c r="E9" s="21" t="s">
        <v>84</v>
      </c>
      <c r="F9" s="3" t="s">
        <v>56</v>
      </c>
      <c r="G9" s="47" t="s">
        <v>83</v>
      </c>
    </row>
    <row r="10" spans="2:7" x14ac:dyDescent="0.25">
      <c r="B10" s="7">
        <v>5</v>
      </c>
      <c r="C10" s="65" t="s">
        <v>76</v>
      </c>
      <c r="D10" s="3" t="s">
        <v>24</v>
      </c>
      <c r="E10" s="19" t="s">
        <v>85</v>
      </c>
      <c r="F10" s="3" t="s">
        <v>56</v>
      </c>
      <c r="G10" s="47" t="s">
        <v>83</v>
      </c>
    </row>
    <row r="11" spans="2:7" x14ac:dyDescent="0.25">
      <c r="B11" s="7">
        <v>6</v>
      </c>
      <c r="C11" s="65" t="s">
        <v>76</v>
      </c>
      <c r="D11" s="3" t="s">
        <v>28</v>
      </c>
      <c r="E11" s="20" t="s">
        <v>86</v>
      </c>
      <c r="F11" s="3" t="s">
        <v>38</v>
      </c>
      <c r="G11" s="47" t="s">
        <v>39</v>
      </c>
    </row>
    <row r="12" spans="2:7" x14ac:dyDescent="0.25">
      <c r="B12" s="7">
        <v>7</v>
      </c>
      <c r="C12" s="65" t="s">
        <v>76</v>
      </c>
      <c r="D12" s="3" t="s">
        <v>32</v>
      </c>
      <c r="E12" s="20" t="s">
        <v>87</v>
      </c>
      <c r="F12" s="3" t="s">
        <v>38</v>
      </c>
      <c r="G12" s="47" t="s">
        <v>80</v>
      </c>
    </row>
    <row r="13" spans="2:7" x14ac:dyDescent="0.25">
      <c r="B13" s="9"/>
      <c r="C13" s="5"/>
      <c r="D13" s="5"/>
      <c r="E13" s="5"/>
      <c r="F13" s="5"/>
      <c r="G13" s="49"/>
    </row>
    <row r="14" spans="2:7" x14ac:dyDescent="0.25">
      <c r="B14" s="7">
        <v>1</v>
      </c>
      <c r="C14" s="65" t="s">
        <v>88</v>
      </c>
      <c r="D14" s="3" t="s">
        <v>9</v>
      </c>
      <c r="E14" s="20" t="s">
        <v>89</v>
      </c>
      <c r="F14" s="3" t="s">
        <v>38</v>
      </c>
      <c r="G14" s="47" t="s">
        <v>39</v>
      </c>
    </row>
    <row r="15" spans="2:7" x14ac:dyDescent="0.25">
      <c r="B15" s="7">
        <v>2</v>
      </c>
      <c r="C15" s="65" t="s">
        <v>88</v>
      </c>
      <c r="D15" s="3" t="s">
        <v>13</v>
      </c>
      <c r="E15" s="21" t="s">
        <v>90</v>
      </c>
      <c r="F15" s="3" t="s">
        <v>11</v>
      </c>
      <c r="G15" s="47" t="s">
        <v>91</v>
      </c>
    </row>
    <row r="16" spans="2:7" x14ac:dyDescent="0.25">
      <c r="B16" s="7"/>
      <c r="C16" s="65" t="s">
        <v>88</v>
      </c>
      <c r="D16" s="3" t="s">
        <v>13</v>
      </c>
      <c r="E16" s="20" t="s">
        <v>92</v>
      </c>
      <c r="F16" s="3" t="s">
        <v>11</v>
      </c>
      <c r="G16" s="47" t="s">
        <v>93</v>
      </c>
    </row>
    <row r="17" spans="2:7" x14ac:dyDescent="0.25">
      <c r="B17" s="7">
        <v>3</v>
      </c>
      <c r="C17" s="65" t="s">
        <v>88</v>
      </c>
      <c r="D17" s="3" t="s">
        <v>18</v>
      </c>
      <c r="E17" s="20" t="s">
        <v>94</v>
      </c>
      <c r="F17" s="3" t="s">
        <v>38</v>
      </c>
      <c r="G17" s="47" t="s">
        <v>39</v>
      </c>
    </row>
    <row r="18" spans="2:7" x14ac:dyDescent="0.25">
      <c r="B18" s="7">
        <v>4</v>
      </c>
      <c r="C18" s="65" t="s">
        <v>88</v>
      </c>
      <c r="D18" s="3" t="s">
        <v>21</v>
      </c>
      <c r="E18" s="21" t="s">
        <v>95</v>
      </c>
      <c r="F18" s="3" t="s">
        <v>38</v>
      </c>
      <c r="G18" s="47" t="s">
        <v>39</v>
      </c>
    </row>
    <row r="19" spans="2:7" x14ac:dyDescent="0.25">
      <c r="B19" s="7">
        <v>5</v>
      </c>
      <c r="C19" s="65" t="s">
        <v>88</v>
      </c>
      <c r="D19" s="3" t="s">
        <v>24</v>
      </c>
      <c r="E19" s="20" t="s">
        <v>96</v>
      </c>
      <c r="F19" s="3" t="s">
        <v>38</v>
      </c>
      <c r="G19" s="47" t="s">
        <v>39</v>
      </c>
    </row>
    <row r="20" spans="2:7" x14ac:dyDescent="0.25">
      <c r="B20" s="7">
        <v>6</v>
      </c>
      <c r="C20" s="65" t="s">
        <v>88</v>
      </c>
      <c r="D20" s="3" t="s">
        <v>28</v>
      </c>
      <c r="E20" s="20" t="s">
        <v>97</v>
      </c>
      <c r="F20" s="3" t="s">
        <v>11</v>
      </c>
      <c r="G20" s="47" t="s">
        <v>98</v>
      </c>
    </row>
    <row r="21" spans="2:7" ht="15.75" thickBot="1" x14ac:dyDescent="0.3">
      <c r="B21" s="10">
        <v>7</v>
      </c>
      <c r="C21" s="65" t="s">
        <v>88</v>
      </c>
      <c r="D21" s="11" t="s">
        <v>32</v>
      </c>
      <c r="E21" s="22" t="s">
        <v>99</v>
      </c>
      <c r="F21" s="11" t="s">
        <v>11</v>
      </c>
      <c r="G21" s="56" t="s">
        <v>100</v>
      </c>
    </row>
  </sheetData>
  <hyperlinks>
    <hyperlink ref="D2" r:id="rId1" display="https://binusianorg.sharepoint.com/sites/RCDC/_layouts/15/guestaccess.aspx?share=EjOVK2m9jDBNmsOOCCcOxVQBVoK_RN1jYfmNlyS_o8Hvng&amp;e=uOFSNh" xr:uid="{F6D8D28C-8B66-4393-8399-58C91BF3CF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4FFF-ACFD-4338-9DD5-10C1D0749491}">
  <dimension ref="B1:G21"/>
  <sheetViews>
    <sheetView topLeftCell="B1" workbookViewId="0">
      <selection activeCell="D2" sqref="D2"/>
    </sheetView>
  </sheetViews>
  <sheetFormatPr defaultRowHeight="15" x14ac:dyDescent="0.25"/>
  <cols>
    <col min="2" max="2" width="3.85546875" style="2" bestFit="1" customWidth="1"/>
    <col min="3" max="3" width="8.7109375" style="2" bestFit="1" customWidth="1"/>
    <col min="4" max="4" width="25" style="2" bestFit="1" customWidth="1"/>
    <col min="5" max="5" width="79.42578125" style="2" bestFit="1" customWidth="1"/>
    <col min="6" max="6" width="20.140625" style="2" bestFit="1" customWidth="1"/>
    <col min="7" max="7" width="40.5703125" style="2" bestFit="1" customWidth="1"/>
  </cols>
  <sheetData>
    <row r="1" spans="2:7" ht="24" x14ac:dyDescent="0.4">
      <c r="B1" s="43" t="s">
        <v>101</v>
      </c>
    </row>
    <row r="2" spans="2:7" ht="15.75" thickBot="1" x14ac:dyDescent="0.3">
      <c r="B2" s="2" t="s">
        <v>102</v>
      </c>
      <c r="D2" s="42" t="s">
        <v>101</v>
      </c>
    </row>
    <row r="3" spans="2:7" s="1" customFormat="1" thickBot="1" x14ac:dyDescent="0.25"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53" t="s">
        <v>7</v>
      </c>
    </row>
    <row r="4" spans="2:7" x14ac:dyDescent="0.25">
      <c r="B4" s="13">
        <v>1</v>
      </c>
      <c r="C4" s="63" t="s">
        <v>103</v>
      </c>
      <c r="D4" s="14" t="s">
        <v>9</v>
      </c>
      <c r="E4" s="2" t="s">
        <v>104</v>
      </c>
      <c r="F4" s="14" t="s">
        <v>38</v>
      </c>
      <c r="G4" s="54" t="s">
        <v>80</v>
      </c>
    </row>
    <row r="5" spans="2:7" x14ac:dyDescent="0.25">
      <c r="B5" s="7">
        <v>2</v>
      </c>
      <c r="C5" s="63" t="s">
        <v>103</v>
      </c>
      <c r="D5" s="3" t="s">
        <v>13</v>
      </c>
      <c r="E5" s="2" t="s">
        <v>105</v>
      </c>
      <c r="F5" s="3" t="s">
        <v>11</v>
      </c>
      <c r="G5" s="55" t="s">
        <v>106</v>
      </c>
    </row>
    <row r="6" spans="2:7" x14ac:dyDescent="0.25">
      <c r="B6" s="7"/>
      <c r="C6" s="63" t="s">
        <v>103</v>
      </c>
      <c r="D6" s="3" t="s">
        <v>13</v>
      </c>
      <c r="E6" s="2" t="s">
        <v>107</v>
      </c>
      <c r="F6" s="3" t="s">
        <v>38</v>
      </c>
      <c r="G6" s="47" t="s">
        <v>39</v>
      </c>
    </row>
    <row r="7" spans="2:7" x14ac:dyDescent="0.25">
      <c r="B7" s="7">
        <v>3</v>
      </c>
      <c r="C7" s="63" t="s">
        <v>103</v>
      </c>
      <c r="D7" s="3" t="s">
        <v>18</v>
      </c>
      <c r="E7" s="6" t="s">
        <v>108</v>
      </c>
      <c r="F7" s="3" t="s">
        <v>38</v>
      </c>
      <c r="G7" s="47" t="s">
        <v>39</v>
      </c>
    </row>
    <row r="8" spans="2:7" x14ac:dyDescent="0.25">
      <c r="B8" s="7"/>
      <c r="C8" s="63" t="s">
        <v>103</v>
      </c>
      <c r="D8" s="3" t="s">
        <v>18</v>
      </c>
      <c r="E8" s="2" t="s">
        <v>109</v>
      </c>
      <c r="F8" s="3" t="s">
        <v>38</v>
      </c>
      <c r="G8" s="47" t="s">
        <v>39</v>
      </c>
    </row>
    <row r="9" spans="2:7" x14ac:dyDescent="0.25">
      <c r="B9" s="7">
        <v>4</v>
      </c>
      <c r="C9" s="63" t="s">
        <v>103</v>
      </c>
      <c r="D9" s="3" t="s">
        <v>21</v>
      </c>
      <c r="E9" s="6" t="s">
        <v>110</v>
      </c>
      <c r="F9" s="3" t="s">
        <v>11</v>
      </c>
      <c r="G9" s="55" t="s">
        <v>111</v>
      </c>
    </row>
    <row r="10" spans="2:7" x14ac:dyDescent="0.25">
      <c r="B10" s="7">
        <v>5</v>
      </c>
      <c r="C10" s="63" t="s">
        <v>103</v>
      </c>
      <c r="D10" s="3" t="s">
        <v>24</v>
      </c>
      <c r="E10" s="2" t="s">
        <v>112</v>
      </c>
      <c r="F10" s="3" t="s">
        <v>38</v>
      </c>
      <c r="G10" s="47" t="s">
        <v>39</v>
      </c>
    </row>
    <row r="11" spans="2:7" x14ac:dyDescent="0.25">
      <c r="B11" s="8">
        <v>6</v>
      </c>
      <c r="C11" s="63" t="s">
        <v>103</v>
      </c>
      <c r="D11" s="4" t="s">
        <v>28</v>
      </c>
      <c r="E11" s="4" t="s">
        <v>33</v>
      </c>
      <c r="F11" s="4"/>
      <c r="G11" s="48"/>
    </row>
    <row r="12" spans="2:7" x14ac:dyDescent="0.25">
      <c r="B12" s="7">
        <v>7</v>
      </c>
      <c r="C12" s="63" t="s">
        <v>103</v>
      </c>
      <c r="D12" s="3" t="s">
        <v>32</v>
      </c>
      <c r="E12" s="2" t="s">
        <v>113</v>
      </c>
      <c r="F12" s="3" t="s">
        <v>38</v>
      </c>
      <c r="G12" s="47" t="s">
        <v>80</v>
      </c>
    </row>
    <row r="13" spans="2:7" x14ac:dyDescent="0.25">
      <c r="B13" s="9"/>
      <c r="C13" s="5"/>
      <c r="D13" s="5"/>
      <c r="E13" s="5"/>
      <c r="F13" s="5"/>
      <c r="G13" s="49"/>
    </row>
    <row r="14" spans="2:7" x14ac:dyDescent="0.25">
      <c r="B14" s="7">
        <v>1</v>
      </c>
      <c r="C14" s="64" t="s">
        <v>114</v>
      </c>
      <c r="D14" s="3" t="s">
        <v>9</v>
      </c>
      <c r="E14" s="2" t="s">
        <v>115</v>
      </c>
      <c r="F14" s="3" t="s">
        <v>11</v>
      </c>
      <c r="G14" s="47" t="s">
        <v>116</v>
      </c>
    </row>
    <row r="15" spans="2:7" x14ac:dyDescent="0.25">
      <c r="B15" s="7">
        <v>2</v>
      </c>
      <c r="C15" s="64" t="s">
        <v>114</v>
      </c>
      <c r="D15" s="3" t="s">
        <v>13</v>
      </c>
      <c r="E15" s="2" t="s">
        <v>117</v>
      </c>
      <c r="F15" s="3" t="s">
        <v>38</v>
      </c>
      <c r="G15" s="47" t="s">
        <v>39</v>
      </c>
    </row>
    <row r="16" spans="2:7" x14ac:dyDescent="0.25">
      <c r="B16" s="7">
        <v>3</v>
      </c>
      <c r="C16" s="64" t="s">
        <v>114</v>
      </c>
      <c r="D16" s="3" t="s">
        <v>18</v>
      </c>
      <c r="E16" s="2" t="s">
        <v>118</v>
      </c>
      <c r="F16" s="3" t="s">
        <v>38</v>
      </c>
      <c r="G16" s="47" t="s">
        <v>39</v>
      </c>
    </row>
    <row r="17" spans="2:7" x14ac:dyDescent="0.25">
      <c r="B17" s="7">
        <v>4</v>
      </c>
      <c r="C17" s="64" t="s">
        <v>114</v>
      </c>
      <c r="D17" s="3" t="s">
        <v>21</v>
      </c>
      <c r="E17" s="6" t="s">
        <v>119</v>
      </c>
      <c r="F17" s="3" t="s">
        <v>38</v>
      </c>
      <c r="G17" s="47" t="s">
        <v>39</v>
      </c>
    </row>
    <row r="18" spans="2:7" x14ac:dyDescent="0.25">
      <c r="B18" s="7"/>
      <c r="C18" s="64" t="s">
        <v>114</v>
      </c>
      <c r="D18" s="3" t="s">
        <v>21</v>
      </c>
      <c r="E18" s="6" t="s">
        <v>120</v>
      </c>
      <c r="F18" s="3" t="s">
        <v>38</v>
      </c>
      <c r="G18" s="47" t="s">
        <v>39</v>
      </c>
    </row>
    <row r="19" spans="2:7" x14ac:dyDescent="0.25">
      <c r="B19" s="8">
        <v>5</v>
      </c>
      <c r="C19" s="64" t="s">
        <v>114</v>
      </c>
      <c r="D19" s="4" t="s">
        <v>24</v>
      </c>
      <c r="E19" s="4" t="s">
        <v>33</v>
      </c>
      <c r="F19" s="4"/>
      <c r="G19" s="48"/>
    </row>
    <row r="20" spans="2:7" x14ac:dyDescent="0.25">
      <c r="B20" s="7">
        <v>6</v>
      </c>
      <c r="C20" s="64" t="s">
        <v>114</v>
      </c>
      <c r="D20" s="3" t="s">
        <v>28</v>
      </c>
      <c r="E20" s="6" t="s">
        <v>121</v>
      </c>
      <c r="F20" s="3" t="s">
        <v>38</v>
      </c>
      <c r="G20" s="47" t="s">
        <v>39</v>
      </c>
    </row>
    <row r="21" spans="2:7" ht="15.75" thickBot="1" x14ac:dyDescent="0.3">
      <c r="B21" s="10">
        <v>7</v>
      </c>
      <c r="C21" s="64" t="s">
        <v>114</v>
      </c>
      <c r="D21" s="11" t="s">
        <v>32</v>
      </c>
      <c r="E21" s="12" t="s">
        <v>122</v>
      </c>
      <c r="F21" s="11" t="s">
        <v>11</v>
      </c>
      <c r="G21" s="56" t="s">
        <v>116</v>
      </c>
    </row>
  </sheetData>
  <hyperlinks>
    <hyperlink ref="D2" r:id="rId1" display="https://binusianorg.sharepoint.com/sites/RCDC/_layouts/15/guestaccess.aspx?share=Et6sH78dYSJLkDZhu5V0hqgBBFGPd56XfeLRVWxPGc3p8A&amp;e=DYQnMk" xr:uid="{6204683D-4CFC-4456-9266-D3118F4DB64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F31C-00A2-4D83-8BFA-2CB3A14D8795}">
  <dimension ref="A1:J73"/>
  <sheetViews>
    <sheetView workbookViewId="0">
      <selection activeCell="C20" sqref="C20"/>
    </sheetView>
  </sheetViews>
  <sheetFormatPr defaultRowHeight="15" x14ac:dyDescent="0.25"/>
  <cols>
    <col min="1" max="1" width="5.5703125" style="82" customWidth="1"/>
    <col min="2" max="2" width="16.7109375" bestFit="1" customWidth="1"/>
    <col min="3" max="3" width="25" bestFit="1" customWidth="1"/>
    <col min="4" max="4" width="15.140625" bestFit="1" customWidth="1"/>
    <col min="5" max="5" width="65.7109375" bestFit="1" customWidth="1"/>
    <col min="6" max="6" width="27.7109375" bestFit="1" customWidth="1"/>
    <col min="7" max="7" width="42.140625" bestFit="1" customWidth="1"/>
    <col min="8" max="8" width="13" bestFit="1" customWidth="1"/>
    <col min="9" max="9" width="38.42578125" bestFit="1" customWidth="1"/>
    <col min="10" max="10" width="12.7109375" bestFit="1" customWidth="1"/>
  </cols>
  <sheetData>
    <row r="1" spans="1:10" s="75" customFormat="1" ht="25.5" x14ac:dyDescent="0.25">
      <c r="A1" s="77" t="s">
        <v>2</v>
      </c>
      <c r="B1" s="76" t="s">
        <v>3</v>
      </c>
      <c r="C1" s="76" t="s">
        <v>4</v>
      </c>
      <c r="D1" s="76" t="s">
        <v>123</v>
      </c>
      <c r="E1" s="76" t="s">
        <v>5</v>
      </c>
      <c r="F1" s="76" t="s">
        <v>6</v>
      </c>
      <c r="G1" s="76" t="s">
        <v>7</v>
      </c>
      <c r="H1" s="76" t="s">
        <v>124</v>
      </c>
      <c r="I1" s="78" t="s">
        <v>125</v>
      </c>
      <c r="J1" s="76" t="s">
        <v>126</v>
      </c>
    </row>
    <row r="2" spans="1:10" x14ac:dyDescent="0.25">
      <c r="A2" s="81">
        <v>11</v>
      </c>
      <c r="B2" s="65" t="s">
        <v>8</v>
      </c>
      <c r="C2" s="4" t="s">
        <v>32</v>
      </c>
      <c r="D2" s="4" t="s">
        <v>127</v>
      </c>
      <c r="E2" s="68" t="s">
        <v>33</v>
      </c>
      <c r="F2" s="4" t="s">
        <v>33</v>
      </c>
      <c r="G2" s="4" t="s">
        <v>33</v>
      </c>
      <c r="H2" s="84"/>
      <c r="I2" s="79"/>
    </row>
    <row r="3" spans="1:10" x14ac:dyDescent="0.25">
      <c r="A3" s="86">
        <v>1</v>
      </c>
      <c r="B3" s="87" t="s">
        <v>8</v>
      </c>
      <c r="C3" s="88" t="s">
        <v>9</v>
      </c>
      <c r="D3" s="88" t="s">
        <v>128</v>
      </c>
      <c r="E3" s="89" t="s">
        <v>10</v>
      </c>
      <c r="F3" s="88" t="s">
        <v>11</v>
      </c>
      <c r="G3" s="90" t="s">
        <v>12</v>
      </c>
      <c r="H3" s="91" t="s">
        <v>129</v>
      </c>
      <c r="I3" s="92" t="s">
        <v>33</v>
      </c>
      <c r="J3" s="42" t="s">
        <v>9</v>
      </c>
    </row>
    <row r="4" spans="1:10" s="93" customFormat="1" ht="15.75" x14ac:dyDescent="0.25">
      <c r="A4" s="86">
        <v>2</v>
      </c>
      <c r="B4" s="87" t="s">
        <v>8</v>
      </c>
      <c r="C4" s="88" t="s">
        <v>13</v>
      </c>
      <c r="D4" s="88" t="s">
        <v>130</v>
      </c>
      <c r="E4" s="94" t="s">
        <v>14</v>
      </c>
      <c r="F4" s="88" t="s">
        <v>11</v>
      </c>
      <c r="G4" s="94" t="s">
        <v>15</v>
      </c>
      <c r="H4" s="91" t="s">
        <v>129</v>
      </c>
      <c r="I4" s="104" t="s">
        <v>131</v>
      </c>
      <c r="J4" s="42" t="s">
        <v>132</v>
      </c>
    </row>
    <row r="5" spans="1:10" s="93" customFormat="1" ht="15.75" x14ac:dyDescent="0.25">
      <c r="A5" s="81">
        <v>3</v>
      </c>
      <c r="B5" s="65" t="s">
        <v>8</v>
      </c>
      <c r="C5" s="3" t="s">
        <v>13</v>
      </c>
      <c r="D5" s="88" t="s">
        <v>130</v>
      </c>
      <c r="E5" s="20" t="s">
        <v>16</v>
      </c>
      <c r="F5" s="3" t="s">
        <v>11</v>
      </c>
      <c r="G5" s="20" t="s">
        <v>17</v>
      </c>
      <c r="H5" s="84" t="s">
        <v>129</v>
      </c>
      <c r="I5" s="95" t="s">
        <v>131</v>
      </c>
      <c r="J5" s="42" t="s">
        <v>132</v>
      </c>
    </row>
    <row r="6" spans="1:10" ht="15.75" x14ac:dyDescent="0.25">
      <c r="A6" s="81">
        <v>4</v>
      </c>
      <c r="B6" s="65" t="s">
        <v>8</v>
      </c>
      <c r="C6" s="3" t="s">
        <v>13</v>
      </c>
      <c r="D6" s="3" t="s">
        <v>130</v>
      </c>
      <c r="E6" s="20" t="s">
        <v>16</v>
      </c>
      <c r="F6" s="3" t="s">
        <v>11</v>
      </c>
      <c r="G6" s="20" t="s">
        <v>17</v>
      </c>
      <c r="H6" s="84" t="s">
        <v>129</v>
      </c>
      <c r="I6" s="95" t="s">
        <v>131</v>
      </c>
      <c r="J6" s="42" t="s">
        <v>132</v>
      </c>
    </row>
    <row r="7" spans="1:10" ht="15.75" x14ac:dyDescent="0.25">
      <c r="A7" s="81">
        <v>5</v>
      </c>
      <c r="B7" s="65" t="s">
        <v>8</v>
      </c>
      <c r="C7" s="3" t="s">
        <v>18</v>
      </c>
      <c r="D7" s="3" t="s">
        <v>133</v>
      </c>
      <c r="E7" s="66" t="s">
        <v>19</v>
      </c>
      <c r="F7" s="3" t="s">
        <v>11</v>
      </c>
      <c r="G7" s="3" t="s">
        <v>20</v>
      </c>
      <c r="H7" s="84" t="s">
        <v>129</v>
      </c>
      <c r="I7" s="95" t="s">
        <v>134</v>
      </c>
      <c r="J7" s="42" t="s">
        <v>135</v>
      </c>
    </row>
    <row r="8" spans="1:10" ht="15.75" x14ac:dyDescent="0.25">
      <c r="A8" s="81">
        <v>6</v>
      </c>
      <c r="B8" s="65" t="s">
        <v>8</v>
      </c>
      <c r="C8" s="3" t="s">
        <v>21</v>
      </c>
      <c r="D8" s="3" t="s">
        <v>136</v>
      </c>
      <c r="E8" s="20" t="s">
        <v>22</v>
      </c>
      <c r="F8" s="3" t="s">
        <v>11</v>
      </c>
      <c r="G8" s="3" t="s">
        <v>23</v>
      </c>
      <c r="H8" s="84" t="s">
        <v>129</v>
      </c>
      <c r="I8" s="95" t="s">
        <v>131</v>
      </c>
      <c r="J8" s="42" t="s">
        <v>137</v>
      </c>
    </row>
    <row r="9" spans="1:10" ht="15.75" x14ac:dyDescent="0.25">
      <c r="A9" s="81">
        <v>7</v>
      </c>
      <c r="B9" s="65" t="s">
        <v>8</v>
      </c>
      <c r="C9" s="3" t="s">
        <v>24</v>
      </c>
      <c r="D9" s="3" t="s">
        <v>138</v>
      </c>
      <c r="E9" s="20" t="s">
        <v>25</v>
      </c>
      <c r="F9" s="3" t="s">
        <v>11</v>
      </c>
      <c r="G9" s="3" t="s">
        <v>17</v>
      </c>
      <c r="H9" s="84" t="s">
        <v>129</v>
      </c>
      <c r="I9" s="95" t="s">
        <v>131</v>
      </c>
      <c r="J9" s="42" t="s">
        <v>139</v>
      </c>
    </row>
    <row r="10" spans="1:10" ht="15.75" x14ac:dyDescent="0.25">
      <c r="A10" s="81">
        <v>8</v>
      </c>
      <c r="B10" s="65" t="s">
        <v>8</v>
      </c>
      <c r="C10" s="3" t="s">
        <v>24</v>
      </c>
      <c r="D10" s="3" t="s">
        <v>138</v>
      </c>
      <c r="E10" s="67" t="s">
        <v>26</v>
      </c>
      <c r="F10" s="3" t="s">
        <v>11</v>
      </c>
      <c r="G10" s="3" t="s">
        <v>27</v>
      </c>
      <c r="H10" s="84" t="s">
        <v>129</v>
      </c>
      <c r="I10" s="95" t="s">
        <v>131</v>
      </c>
      <c r="J10" s="42" t="s">
        <v>139</v>
      </c>
    </row>
    <row r="11" spans="1:10" ht="15.75" x14ac:dyDescent="0.25">
      <c r="A11" s="81">
        <v>9</v>
      </c>
      <c r="B11" s="65" t="s">
        <v>8</v>
      </c>
      <c r="C11" s="3" t="s">
        <v>28</v>
      </c>
      <c r="D11" s="3" t="s">
        <v>140</v>
      </c>
      <c r="E11" s="20" t="s">
        <v>29</v>
      </c>
      <c r="F11" s="3" t="s">
        <v>11</v>
      </c>
      <c r="G11" s="3" t="s">
        <v>30</v>
      </c>
      <c r="H11" s="84" t="s">
        <v>129</v>
      </c>
      <c r="I11" s="95" t="s">
        <v>141</v>
      </c>
      <c r="J11" s="42" t="s">
        <v>28</v>
      </c>
    </row>
    <row r="12" spans="1:10" ht="15.75" x14ac:dyDescent="0.25">
      <c r="A12" s="81">
        <v>10</v>
      </c>
      <c r="B12" s="65" t="s">
        <v>8</v>
      </c>
      <c r="C12" s="3" t="s">
        <v>28</v>
      </c>
      <c r="D12" s="3" t="s">
        <v>140</v>
      </c>
      <c r="E12" s="20" t="s">
        <v>31</v>
      </c>
      <c r="F12" s="3" t="s">
        <v>11</v>
      </c>
      <c r="G12" s="3" t="s">
        <v>27</v>
      </c>
      <c r="H12" s="84" t="s">
        <v>129</v>
      </c>
      <c r="I12" s="95" t="s">
        <v>134</v>
      </c>
      <c r="J12" s="42" t="s">
        <v>28</v>
      </c>
    </row>
    <row r="13" spans="1:10" x14ac:dyDescent="0.25">
      <c r="A13" s="81">
        <v>19</v>
      </c>
      <c r="B13" s="65" t="s">
        <v>51</v>
      </c>
      <c r="C13" s="27" t="s">
        <v>24</v>
      </c>
      <c r="D13" s="3" t="s">
        <v>138</v>
      </c>
      <c r="E13" s="28" t="s">
        <v>33</v>
      </c>
      <c r="F13" s="27" t="s">
        <v>33</v>
      </c>
      <c r="G13" s="27" t="s">
        <v>33</v>
      </c>
      <c r="H13" s="84"/>
    </row>
    <row r="14" spans="1:10" ht="15.75" x14ac:dyDescent="0.25">
      <c r="A14" s="81">
        <v>13</v>
      </c>
      <c r="B14" s="65" t="s">
        <v>51</v>
      </c>
      <c r="C14" s="23" t="s">
        <v>13</v>
      </c>
      <c r="D14" s="3" t="s">
        <v>130</v>
      </c>
      <c r="E14" s="70" t="s">
        <v>53</v>
      </c>
      <c r="F14" s="23" t="s">
        <v>11</v>
      </c>
      <c r="G14" s="23" t="s">
        <v>54</v>
      </c>
      <c r="H14" s="84" t="s">
        <v>129</v>
      </c>
      <c r="I14" s="95" t="s">
        <v>131</v>
      </c>
      <c r="J14" s="42" t="s">
        <v>132</v>
      </c>
    </row>
    <row r="15" spans="1:10" x14ac:dyDescent="0.25">
      <c r="A15" s="81">
        <v>15</v>
      </c>
      <c r="B15" s="65" t="s">
        <v>51</v>
      </c>
      <c r="C15" s="23" t="s">
        <v>18</v>
      </c>
      <c r="D15" s="3" t="s">
        <v>133</v>
      </c>
      <c r="E15" s="72" t="s">
        <v>58</v>
      </c>
      <c r="F15" s="23" t="s">
        <v>11</v>
      </c>
      <c r="G15" s="23" t="s">
        <v>59</v>
      </c>
      <c r="H15" s="84" t="s">
        <v>33</v>
      </c>
      <c r="I15" s="79" t="s">
        <v>33</v>
      </c>
      <c r="J15" s="42" t="s">
        <v>142</v>
      </c>
    </row>
    <row r="16" spans="1:10" x14ac:dyDescent="0.25">
      <c r="A16" s="81">
        <v>17</v>
      </c>
      <c r="B16" s="65" t="s">
        <v>51</v>
      </c>
      <c r="C16" s="23" t="s">
        <v>21</v>
      </c>
      <c r="D16" s="3" t="s">
        <v>136</v>
      </c>
      <c r="E16" s="70" t="s">
        <v>60</v>
      </c>
      <c r="F16" s="23" t="s">
        <v>11</v>
      </c>
      <c r="G16" s="23" t="s">
        <v>61</v>
      </c>
      <c r="H16" s="84" t="s">
        <v>129</v>
      </c>
      <c r="I16" s="96" t="s">
        <v>143</v>
      </c>
      <c r="J16" s="42" t="s">
        <v>142</v>
      </c>
    </row>
    <row r="17" spans="1:10" x14ac:dyDescent="0.25">
      <c r="A17" s="81">
        <v>14</v>
      </c>
      <c r="B17" s="65" t="s">
        <v>51</v>
      </c>
      <c r="C17" s="23" t="s">
        <v>13</v>
      </c>
      <c r="D17" s="3" t="s">
        <v>130</v>
      </c>
      <c r="E17" s="72" t="s">
        <v>55</v>
      </c>
      <c r="F17" s="23" t="s">
        <v>56</v>
      </c>
      <c r="G17" s="74" t="s">
        <v>57</v>
      </c>
      <c r="H17" s="84" t="s">
        <v>144</v>
      </c>
      <c r="I17" t="s">
        <v>33</v>
      </c>
      <c r="J17" s="42" t="s">
        <v>145</v>
      </c>
    </row>
    <row r="18" spans="1:10" x14ac:dyDescent="0.25">
      <c r="A18" s="81">
        <v>12</v>
      </c>
      <c r="B18" s="65" t="s">
        <v>51</v>
      </c>
      <c r="C18" s="23" t="s">
        <v>9</v>
      </c>
      <c r="D18" s="88" t="s">
        <v>128</v>
      </c>
      <c r="E18" s="70" t="s">
        <v>52</v>
      </c>
      <c r="F18" s="23" t="s">
        <v>38</v>
      </c>
      <c r="G18" s="23" t="s">
        <v>39</v>
      </c>
      <c r="H18" s="84" t="s">
        <v>144</v>
      </c>
      <c r="I18" t="s">
        <v>33</v>
      </c>
      <c r="J18" s="42" t="s">
        <v>9</v>
      </c>
    </row>
    <row r="19" spans="1:10" x14ac:dyDescent="0.25">
      <c r="A19" s="81">
        <v>16</v>
      </c>
      <c r="B19" s="65" t="s">
        <v>51</v>
      </c>
      <c r="C19" s="23" t="s">
        <v>18</v>
      </c>
      <c r="D19" s="3" t="s">
        <v>133</v>
      </c>
      <c r="E19" s="72" t="s">
        <v>52</v>
      </c>
      <c r="F19" s="23" t="s">
        <v>38</v>
      </c>
      <c r="G19" s="23" t="s">
        <v>39</v>
      </c>
      <c r="H19" s="84" t="s">
        <v>144</v>
      </c>
      <c r="I19" s="79" t="s">
        <v>33</v>
      </c>
      <c r="J19" s="42" t="s">
        <v>135</v>
      </c>
    </row>
    <row r="20" spans="1:10" x14ac:dyDescent="0.25">
      <c r="A20" s="81">
        <v>18</v>
      </c>
      <c r="B20" s="65" t="s">
        <v>51</v>
      </c>
      <c r="C20" s="23" t="s">
        <v>21</v>
      </c>
      <c r="D20" s="3" t="s">
        <v>136</v>
      </c>
      <c r="E20" s="70" t="s">
        <v>62</v>
      </c>
      <c r="F20" s="23" t="s">
        <v>38</v>
      </c>
      <c r="G20" s="23" t="s">
        <v>39</v>
      </c>
      <c r="H20" s="84" t="s">
        <v>144</v>
      </c>
      <c r="I20" s="79" t="s">
        <v>33</v>
      </c>
      <c r="J20" s="42" t="s">
        <v>145</v>
      </c>
    </row>
    <row r="21" spans="1:10" x14ac:dyDescent="0.25">
      <c r="A21" s="81">
        <v>20</v>
      </c>
      <c r="B21" s="65" t="s">
        <v>51</v>
      </c>
      <c r="C21" s="23" t="s">
        <v>28</v>
      </c>
      <c r="D21" s="3" t="s">
        <v>140</v>
      </c>
      <c r="E21" s="74" t="s">
        <v>63</v>
      </c>
      <c r="F21" s="23" t="s">
        <v>38</v>
      </c>
      <c r="G21" s="23" t="s">
        <v>39</v>
      </c>
      <c r="H21" s="84" t="s">
        <v>144</v>
      </c>
      <c r="I21" s="79" t="s">
        <v>33</v>
      </c>
      <c r="J21" s="42" t="s">
        <v>28</v>
      </c>
    </row>
    <row r="22" spans="1:10" x14ac:dyDescent="0.25">
      <c r="A22" s="81">
        <v>21</v>
      </c>
      <c r="B22" s="65" t="s">
        <v>51</v>
      </c>
      <c r="C22" s="23" t="s">
        <v>32</v>
      </c>
      <c r="D22" s="4" t="s">
        <v>127</v>
      </c>
      <c r="E22" s="70" t="s">
        <v>64</v>
      </c>
      <c r="F22" s="23" t="s">
        <v>38</v>
      </c>
      <c r="G22" s="23" t="s">
        <v>39</v>
      </c>
      <c r="H22" s="84" t="s">
        <v>144</v>
      </c>
      <c r="I22" t="s">
        <v>143</v>
      </c>
      <c r="J22" s="42" t="s">
        <v>32</v>
      </c>
    </row>
    <row r="23" spans="1:10" x14ac:dyDescent="0.25">
      <c r="A23" s="81">
        <v>26</v>
      </c>
      <c r="B23" s="65" t="s">
        <v>76</v>
      </c>
      <c r="C23" s="3" t="s">
        <v>21</v>
      </c>
      <c r="D23" s="3" t="s">
        <v>136</v>
      </c>
      <c r="E23" s="20" t="s">
        <v>82</v>
      </c>
      <c r="F23" s="3" t="s">
        <v>56</v>
      </c>
      <c r="G23" s="3" t="s">
        <v>83</v>
      </c>
      <c r="H23" s="84" t="s">
        <v>144</v>
      </c>
      <c r="I23" t="s">
        <v>146</v>
      </c>
      <c r="J23" s="42" t="s">
        <v>142</v>
      </c>
    </row>
    <row r="24" spans="1:10" x14ac:dyDescent="0.25">
      <c r="A24" s="81">
        <v>27</v>
      </c>
      <c r="B24" s="65" t="s">
        <v>76</v>
      </c>
      <c r="C24" s="3" t="s">
        <v>21</v>
      </c>
      <c r="D24" s="3" t="s">
        <v>136</v>
      </c>
      <c r="E24" s="66" t="s">
        <v>84</v>
      </c>
      <c r="F24" s="3" t="s">
        <v>56</v>
      </c>
      <c r="G24" s="3" t="s">
        <v>83</v>
      </c>
      <c r="H24" s="84" t="s">
        <v>144</v>
      </c>
      <c r="I24" s="79" t="s">
        <v>147</v>
      </c>
      <c r="J24" s="42" t="s">
        <v>145</v>
      </c>
    </row>
    <row r="25" spans="1:10" x14ac:dyDescent="0.25">
      <c r="A25" s="81">
        <v>28</v>
      </c>
      <c r="B25" s="65" t="s">
        <v>76</v>
      </c>
      <c r="C25" s="3" t="s">
        <v>24</v>
      </c>
      <c r="D25" s="3" t="s">
        <v>138</v>
      </c>
      <c r="E25" s="19" t="s">
        <v>85</v>
      </c>
      <c r="F25" s="3" t="s">
        <v>56</v>
      </c>
      <c r="G25" s="3" t="s">
        <v>83</v>
      </c>
      <c r="H25" s="84" t="s">
        <v>144</v>
      </c>
      <c r="I25" s="79" t="s">
        <v>146</v>
      </c>
      <c r="J25" s="42" t="s">
        <v>139</v>
      </c>
    </row>
    <row r="26" spans="1:10" x14ac:dyDescent="0.25">
      <c r="A26" s="81">
        <v>22</v>
      </c>
      <c r="B26" s="65" t="s">
        <v>76</v>
      </c>
      <c r="C26" s="3" t="s">
        <v>9</v>
      </c>
      <c r="D26" s="88" t="s">
        <v>128</v>
      </c>
      <c r="E26" s="20" t="s">
        <v>77</v>
      </c>
      <c r="F26" s="3" t="s">
        <v>38</v>
      </c>
      <c r="G26" s="3" t="s">
        <v>39</v>
      </c>
      <c r="H26" s="84" t="s">
        <v>144</v>
      </c>
      <c r="I26" s="79" t="s">
        <v>148</v>
      </c>
      <c r="J26" s="42" t="s">
        <v>9</v>
      </c>
    </row>
    <row r="27" spans="1:10" x14ac:dyDescent="0.25">
      <c r="A27" s="81">
        <v>23</v>
      </c>
      <c r="B27" s="65" t="s">
        <v>76</v>
      </c>
      <c r="C27" s="3" t="s">
        <v>13</v>
      </c>
      <c r="D27" s="3" t="s">
        <v>130</v>
      </c>
      <c r="E27" s="66" t="s">
        <v>78</v>
      </c>
      <c r="F27" s="3" t="s">
        <v>38</v>
      </c>
      <c r="G27" s="3" t="s">
        <v>39</v>
      </c>
      <c r="H27" s="84" t="s">
        <v>144</v>
      </c>
      <c r="I27" s="79" t="s">
        <v>147</v>
      </c>
      <c r="J27" s="42" t="s">
        <v>142</v>
      </c>
    </row>
    <row r="28" spans="1:10" x14ac:dyDescent="0.25">
      <c r="A28" s="81">
        <v>24</v>
      </c>
      <c r="B28" s="65" t="s">
        <v>76</v>
      </c>
      <c r="C28" s="3" t="s">
        <v>13</v>
      </c>
      <c r="D28" s="3" t="s">
        <v>130</v>
      </c>
      <c r="E28" s="66" t="s">
        <v>79</v>
      </c>
      <c r="F28" s="3" t="s">
        <v>38</v>
      </c>
      <c r="G28" s="3" t="s">
        <v>80</v>
      </c>
      <c r="H28" s="84" t="s">
        <v>144</v>
      </c>
      <c r="I28" s="79" t="s">
        <v>148</v>
      </c>
      <c r="J28" s="42" t="s">
        <v>145</v>
      </c>
    </row>
    <row r="29" spans="1:10" x14ac:dyDescent="0.25">
      <c r="A29" s="81">
        <v>25</v>
      </c>
      <c r="B29" s="65" t="s">
        <v>76</v>
      </c>
      <c r="C29" s="3" t="s">
        <v>18</v>
      </c>
      <c r="D29" s="3" t="s">
        <v>133</v>
      </c>
      <c r="E29" s="20" t="s">
        <v>81</v>
      </c>
      <c r="F29" s="3" t="s">
        <v>38</v>
      </c>
      <c r="G29" s="3" t="s">
        <v>39</v>
      </c>
      <c r="H29" s="84" t="s">
        <v>144</v>
      </c>
      <c r="I29" t="s">
        <v>149</v>
      </c>
      <c r="J29" s="42" t="s">
        <v>135</v>
      </c>
    </row>
    <row r="30" spans="1:10" x14ac:dyDescent="0.25">
      <c r="A30" s="81">
        <v>29</v>
      </c>
      <c r="B30" s="65" t="s">
        <v>76</v>
      </c>
      <c r="C30" s="3" t="s">
        <v>28</v>
      </c>
      <c r="D30" s="3" t="s">
        <v>140</v>
      </c>
      <c r="E30" s="20" t="s">
        <v>86</v>
      </c>
      <c r="F30" s="3" t="s">
        <v>38</v>
      </c>
      <c r="G30" s="3" t="s">
        <v>39</v>
      </c>
      <c r="H30" s="84" t="s">
        <v>144</v>
      </c>
      <c r="I30" t="s">
        <v>147</v>
      </c>
      <c r="J30" s="42" t="s">
        <v>28</v>
      </c>
    </row>
    <row r="31" spans="1:10" x14ac:dyDescent="0.25">
      <c r="A31" s="81">
        <v>30</v>
      </c>
      <c r="B31" s="65" t="s">
        <v>76</v>
      </c>
      <c r="C31" s="3" t="s">
        <v>32</v>
      </c>
      <c r="D31" s="4" t="s">
        <v>127</v>
      </c>
      <c r="E31" s="20" t="s">
        <v>87</v>
      </c>
      <c r="F31" s="3" t="s">
        <v>38</v>
      </c>
      <c r="G31" s="3" t="s">
        <v>80</v>
      </c>
      <c r="H31" s="84" t="s">
        <v>144</v>
      </c>
      <c r="I31" t="s">
        <v>148</v>
      </c>
      <c r="J31" s="42" t="s">
        <v>32</v>
      </c>
    </row>
    <row r="32" spans="1:10" ht="15.75" x14ac:dyDescent="0.25">
      <c r="A32" s="81">
        <v>32</v>
      </c>
      <c r="B32" s="65" t="s">
        <v>103</v>
      </c>
      <c r="C32" s="3" t="s">
        <v>13</v>
      </c>
      <c r="D32" s="3" t="s">
        <v>130</v>
      </c>
      <c r="E32" s="3" t="s">
        <v>105</v>
      </c>
      <c r="F32" s="3" t="s">
        <v>11</v>
      </c>
      <c r="G32" s="3" t="s">
        <v>106</v>
      </c>
      <c r="H32" s="84" t="s">
        <v>144</v>
      </c>
      <c r="I32" s="105" t="s">
        <v>148</v>
      </c>
      <c r="J32" s="42" t="s">
        <v>142</v>
      </c>
    </row>
    <row r="33" spans="1:10" ht="15.75" x14ac:dyDescent="0.25">
      <c r="A33" s="81">
        <v>36</v>
      </c>
      <c r="B33" s="65" t="s">
        <v>103</v>
      </c>
      <c r="C33" s="3" t="s">
        <v>21</v>
      </c>
      <c r="D33" s="3" t="s">
        <v>136</v>
      </c>
      <c r="E33" s="71" t="s">
        <v>110</v>
      </c>
      <c r="F33" s="3" t="s">
        <v>11</v>
      </c>
      <c r="G33" s="3" t="s">
        <v>111</v>
      </c>
      <c r="H33" s="84" t="s">
        <v>144</v>
      </c>
      <c r="I33" s="105" t="s">
        <v>150</v>
      </c>
      <c r="J33" s="42" t="s">
        <v>137</v>
      </c>
    </row>
    <row r="34" spans="1:10" x14ac:dyDescent="0.25">
      <c r="A34" s="81">
        <v>31</v>
      </c>
      <c r="B34" s="65" t="s">
        <v>103</v>
      </c>
      <c r="C34" s="3" t="s">
        <v>9</v>
      </c>
      <c r="D34" s="88" t="s">
        <v>128</v>
      </c>
      <c r="E34" s="3" t="s">
        <v>104</v>
      </c>
      <c r="F34" s="3" t="s">
        <v>38</v>
      </c>
      <c r="G34" s="3" t="s">
        <v>80</v>
      </c>
      <c r="H34" s="84" t="s">
        <v>144</v>
      </c>
      <c r="I34" s="79" t="s">
        <v>33</v>
      </c>
      <c r="J34" s="42" t="s">
        <v>9</v>
      </c>
    </row>
    <row r="35" spans="1:10" x14ac:dyDescent="0.25">
      <c r="A35" s="81">
        <v>33</v>
      </c>
      <c r="B35" s="65" t="s">
        <v>103</v>
      </c>
      <c r="C35" s="3" t="s">
        <v>13</v>
      </c>
      <c r="D35" s="3" t="s">
        <v>130</v>
      </c>
      <c r="E35" s="3" t="s">
        <v>107</v>
      </c>
      <c r="F35" s="3" t="s">
        <v>38</v>
      </c>
      <c r="G35" s="3" t="s">
        <v>39</v>
      </c>
      <c r="H35" s="84" t="s">
        <v>144</v>
      </c>
      <c r="I35" s="79" t="s">
        <v>151</v>
      </c>
      <c r="J35" s="42" t="s">
        <v>145</v>
      </c>
    </row>
    <row r="36" spans="1:10" x14ac:dyDescent="0.25">
      <c r="A36" s="81">
        <v>34</v>
      </c>
      <c r="B36" s="65" t="s">
        <v>103</v>
      </c>
      <c r="C36" s="3" t="s">
        <v>18</v>
      </c>
      <c r="D36" s="3" t="s">
        <v>133</v>
      </c>
      <c r="E36" s="71" t="s">
        <v>108</v>
      </c>
      <c r="F36" s="3" t="s">
        <v>38</v>
      </c>
      <c r="G36" s="3" t="s">
        <v>39</v>
      </c>
      <c r="H36" s="84" t="s">
        <v>144</v>
      </c>
      <c r="I36" t="s">
        <v>33</v>
      </c>
      <c r="J36" s="42" t="s">
        <v>142</v>
      </c>
    </row>
    <row r="37" spans="1:10" x14ac:dyDescent="0.25">
      <c r="A37" s="81">
        <v>35</v>
      </c>
      <c r="B37" s="65" t="s">
        <v>103</v>
      </c>
      <c r="C37" s="3" t="s">
        <v>18</v>
      </c>
      <c r="D37" s="3" t="s">
        <v>133</v>
      </c>
      <c r="E37" s="3" t="s">
        <v>109</v>
      </c>
      <c r="F37" s="3" t="s">
        <v>38</v>
      </c>
      <c r="G37" s="3" t="s">
        <v>39</v>
      </c>
      <c r="H37" s="84" t="s">
        <v>144</v>
      </c>
      <c r="I37" t="s">
        <v>33</v>
      </c>
      <c r="J37" s="42" t="s">
        <v>145</v>
      </c>
    </row>
    <row r="38" spans="1:10" x14ac:dyDescent="0.25">
      <c r="A38" s="81">
        <v>37</v>
      </c>
      <c r="B38" s="65" t="s">
        <v>103</v>
      </c>
      <c r="C38" s="3" t="s">
        <v>24</v>
      </c>
      <c r="D38" s="3" t="s">
        <v>138</v>
      </c>
      <c r="E38" s="3" t="s">
        <v>112</v>
      </c>
      <c r="F38" s="3" t="s">
        <v>38</v>
      </c>
      <c r="G38" s="3" t="s">
        <v>39</v>
      </c>
      <c r="H38" s="84" t="s">
        <v>144</v>
      </c>
      <c r="I38" t="s">
        <v>151</v>
      </c>
      <c r="J38" s="42" t="s">
        <v>139</v>
      </c>
    </row>
    <row r="39" spans="1:10" x14ac:dyDescent="0.25">
      <c r="A39" s="81">
        <v>39</v>
      </c>
      <c r="B39" s="65" t="s">
        <v>103</v>
      </c>
      <c r="C39" s="3" t="s">
        <v>32</v>
      </c>
      <c r="D39" s="4" t="s">
        <v>127</v>
      </c>
      <c r="E39" s="3" t="s">
        <v>113</v>
      </c>
      <c r="F39" s="3" t="s">
        <v>38</v>
      </c>
      <c r="G39" s="3" t="s">
        <v>80</v>
      </c>
      <c r="H39" s="84" t="s">
        <v>144</v>
      </c>
      <c r="I39" t="s">
        <v>33</v>
      </c>
      <c r="J39" s="42" t="s">
        <v>32</v>
      </c>
    </row>
    <row r="40" spans="1:10" x14ac:dyDescent="0.25">
      <c r="A40" s="81">
        <v>38</v>
      </c>
      <c r="B40" s="65" t="s">
        <v>103</v>
      </c>
      <c r="C40" s="4" t="s">
        <v>28</v>
      </c>
      <c r="D40" s="3" t="s">
        <v>140</v>
      </c>
      <c r="E40" s="4" t="s">
        <v>33</v>
      </c>
      <c r="F40" s="4"/>
      <c r="G40" s="4"/>
      <c r="H40" s="84"/>
    </row>
    <row r="41" spans="1:10" x14ac:dyDescent="0.25">
      <c r="A41" s="81">
        <v>40</v>
      </c>
      <c r="B41" s="65" t="s">
        <v>37</v>
      </c>
      <c r="C41" s="3" t="s">
        <v>9</v>
      </c>
      <c r="D41" s="88" t="s">
        <v>128</v>
      </c>
      <c r="E41" s="20" t="s">
        <v>152</v>
      </c>
      <c r="F41" s="3" t="s">
        <v>38</v>
      </c>
      <c r="G41" s="19" t="s">
        <v>39</v>
      </c>
      <c r="H41" s="84" t="s">
        <v>144</v>
      </c>
      <c r="I41" t="s">
        <v>33</v>
      </c>
      <c r="J41" s="42" t="s">
        <v>9</v>
      </c>
    </row>
    <row r="42" spans="1:10" x14ac:dyDescent="0.25">
      <c r="A42" s="81">
        <v>41</v>
      </c>
      <c r="B42" s="65" t="s">
        <v>37</v>
      </c>
      <c r="C42" s="3" t="s">
        <v>13</v>
      </c>
      <c r="D42" s="3" t="s">
        <v>130</v>
      </c>
      <c r="E42" s="20" t="s">
        <v>40</v>
      </c>
      <c r="F42" s="3" t="s">
        <v>38</v>
      </c>
      <c r="G42" s="19" t="s">
        <v>39</v>
      </c>
      <c r="H42" s="84" t="s">
        <v>144</v>
      </c>
      <c r="I42" t="s">
        <v>33</v>
      </c>
      <c r="J42" s="42" t="s">
        <v>142</v>
      </c>
    </row>
    <row r="43" spans="1:10" x14ac:dyDescent="0.25">
      <c r="A43" s="81">
        <v>42</v>
      </c>
      <c r="B43" s="65" t="s">
        <v>37</v>
      </c>
      <c r="C43" s="3" t="s">
        <v>13</v>
      </c>
      <c r="D43" s="3" t="s">
        <v>130</v>
      </c>
      <c r="E43" s="20" t="s">
        <v>41</v>
      </c>
      <c r="F43" s="3" t="s">
        <v>38</v>
      </c>
      <c r="G43" s="19" t="s">
        <v>39</v>
      </c>
      <c r="H43" s="84" t="s">
        <v>144</v>
      </c>
      <c r="I43" s="79" t="s">
        <v>153</v>
      </c>
      <c r="J43" s="42" t="s">
        <v>145</v>
      </c>
    </row>
    <row r="44" spans="1:10" x14ac:dyDescent="0.25">
      <c r="A44" s="81">
        <v>43</v>
      </c>
      <c r="B44" s="65" t="s">
        <v>37</v>
      </c>
      <c r="C44" s="3" t="s">
        <v>18</v>
      </c>
      <c r="D44" s="3" t="s">
        <v>133</v>
      </c>
      <c r="E44" s="66" t="s">
        <v>42</v>
      </c>
      <c r="F44" s="3" t="s">
        <v>38</v>
      </c>
      <c r="G44" s="19" t="s">
        <v>39</v>
      </c>
      <c r="H44" s="84" t="s">
        <v>144</v>
      </c>
      <c r="I44" t="s">
        <v>33</v>
      </c>
      <c r="J44" s="42" t="s">
        <v>135</v>
      </c>
    </row>
    <row r="45" spans="1:10" x14ac:dyDescent="0.25">
      <c r="A45" s="81">
        <v>44</v>
      </c>
      <c r="B45" s="65" t="s">
        <v>37</v>
      </c>
      <c r="C45" s="3" t="s">
        <v>21</v>
      </c>
      <c r="D45" s="3" t="s">
        <v>136</v>
      </c>
      <c r="E45" s="69" t="s">
        <v>43</v>
      </c>
      <c r="F45" s="3" t="s">
        <v>38</v>
      </c>
      <c r="G45" s="19" t="s">
        <v>39</v>
      </c>
      <c r="H45" s="84" t="s">
        <v>144</v>
      </c>
      <c r="I45" s="79" t="s">
        <v>131</v>
      </c>
      <c r="J45" s="42" t="s">
        <v>142</v>
      </c>
    </row>
    <row r="46" spans="1:10" x14ac:dyDescent="0.25">
      <c r="A46" s="81">
        <v>45</v>
      </c>
      <c r="B46" s="65" t="s">
        <v>37</v>
      </c>
      <c r="C46" s="3" t="s">
        <v>21</v>
      </c>
      <c r="D46" s="3" t="s">
        <v>136</v>
      </c>
      <c r="E46" s="66" t="s">
        <v>44</v>
      </c>
      <c r="F46" s="3" t="s">
        <v>38</v>
      </c>
      <c r="G46" s="19" t="s">
        <v>39</v>
      </c>
      <c r="H46" s="84" t="s">
        <v>144</v>
      </c>
      <c r="I46" s="79" t="s">
        <v>154</v>
      </c>
      <c r="J46" s="42" t="s">
        <v>145</v>
      </c>
    </row>
    <row r="47" spans="1:10" x14ac:dyDescent="0.25">
      <c r="A47" s="81">
        <v>46</v>
      </c>
      <c r="B47" s="65" t="s">
        <v>37</v>
      </c>
      <c r="C47" s="3" t="s">
        <v>24</v>
      </c>
      <c r="D47" s="3" t="s">
        <v>138</v>
      </c>
      <c r="E47" s="20" t="s">
        <v>45</v>
      </c>
      <c r="F47" s="3" t="s">
        <v>38</v>
      </c>
      <c r="G47" s="19" t="s">
        <v>39</v>
      </c>
      <c r="H47" s="84" t="s">
        <v>144</v>
      </c>
      <c r="I47" t="s">
        <v>33</v>
      </c>
      <c r="J47" s="42" t="s">
        <v>139</v>
      </c>
    </row>
    <row r="48" spans="1:10" x14ac:dyDescent="0.25">
      <c r="A48" s="81">
        <v>47</v>
      </c>
      <c r="B48" s="65" t="s">
        <v>37</v>
      </c>
      <c r="C48" s="3" t="s">
        <v>28</v>
      </c>
      <c r="D48" s="3" t="s">
        <v>140</v>
      </c>
      <c r="E48" s="20" t="s">
        <v>46</v>
      </c>
      <c r="F48" s="3" t="s">
        <v>38</v>
      </c>
      <c r="G48" s="19" t="s">
        <v>39</v>
      </c>
      <c r="H48" s="84" t="s">
        <v>144</v>
      </c>
      <c r="I48" s="79" t="s">
        <v>155</v>
      </c>
      <c r="J48" s="42" t="s">
        <v>28</v>
      </c>
    </row>
    <row r="49" spans="1:10" x14ac:dyDescent="0.25">
      <c r="A49" s="81">
        <v>48</v>
      </c>
      <c r="B49" s="65" t="s">
        <v>37</v>
      </c>
      <c r="C49" s="3" t="s">
        <v>32</v>
      </c>
      <c r="D49" s="4" t="s">
        <v>127</v>
      </c>
      <c r="E49" s="66" t="s">
        <v>47</v>
      </c>
      <c r="F49" s="3" t="s">
        <v>38</v>
      </c>
      <c r="G49" s="19" t="s">
        <v>39</v>
      </c>
      <c r="H49" s="84" t="s">
        <v>144</v>
      </c>
      <c r="I49" s="79" t="s">
        <v>33</v>
      </c>
      <c r="J49" s="42" t="s">
        <v>142</v>
      </c>
    </row>
    <row r="50" spans="1:10" x14ac:dyDescent="0.25">
      <c r="A50" s="81">
        <v>49</v>
      </c>
      <c r="B50" s="65" t="s">
        <v>37</v>
      </c>
      <c r="C50" s="3" t="s">
        <v>32</v>
      </c>
      <c r="D50" s="4" t="s">
        <v>127</v>
      </c>
      <c r="E50" s="20" t="s">
        <v>48</v>
      </c>
      <c r="F50" s="3" t="s">
        <v>38</v>
      </c>
      <c r="G50" s="19" t="s">
        <v>39</v>
      </c>
      <c r="H50" s="84" t="s">
        <v>144</v>
      </c>
      <c r="I50" s="79" t="s">
        <v>156</v>
      </c>
      <c r="J50" s="42" t="s">
        <v>145</v>
      </c>
    </row>
    <row r="51" spans="1:10" x14ac:dyDescent="0.25">
      <c r="A51" s="81">
        <v>50</v>
      </c>
      <c r="B51" s="65" t="s">
        <v>65</v>
      </c>
      <c r="C51" s="23" t="s">
        <v>9</v>
      </c>
      <c r="D51" s="88" t="s">
        <v>128</v>
      </c>
      <c r="E51" s="70" t="s">
        <v>66</v>
      </c>
      <c r="F51" s="23" t="s">
        <v>11</v>
      </c>
      <c r="G51" s="73" t="s">
        <v>67</v>
      </c>
      <c r="H51" s="84" t="s">
        <v>144</v>
      </c>
      <c r="I51" t="s">
        <v>33</v>
      </c>
      <c r="J51" s="42" t="s">
        <v>9</v>
      </c>
    </row>
    <row r="52" spans="1:10" x14ac:dyDescent="0.25">
      <c r="A52" s="81">
        <v>51</v>
      </c>
      <c r="B52" s="65" t="s">
        <v>65</v>
      </c>
      <c r="C52" s="23" t="s">
        <v>13</v>
      </c>
      <c r="D52" s="3" t="s">
        <v>130</v>
      </c>
      <c r="E52" s="70" t="s">
        <v>68</v>
      </c>
      <c r="F52" s="23" t="s">
        <v>11</v>
      </c>
      <c r="G52" s="23" t="s">
        <v>69</v>
      </c>
      <c r="H52" s="84" t="s">
        <v>144</v>
      </c>
      <c r="I52" s="96" t="s">
        <v>143</v>
      </c>
      <c r="J52" s="42" t="s">
        <v>132</v>
      </c>
    </row>
    <row r="53" spans="1:10" x14ac:dyDescent="0.25">
      <c r="A53" s="81">
        <v>53</v>
      </c>
      <c r="B53" s="65" t="s">
        <v>65</v>
      </c>
      <c r="C53" s="23" t="s">
        <v>21</v>
      </c>
      <c r="D53" s="3" t="s">
        <v>136</v>
      </c>
      <c r="E53" s="70" t="s">
        <v>71</v>
      </c>
      <c r="F53" s="23" t="s">
        <v>11</v>
      </c>
      <c r="G53" s="23" t="s">
        <v>69</v>
      </c>
      <c r="H53" s="84" t="s">
        <v>144</v>
      </c>
      <c r="I53" t="s">
        <v>143</v>
      </c>
      <c r="J53" s="42" t="s">
        <v>137</v>
      </c>
    </row>
    <row r="54" spans="1:10" x14ac:dyDescent="0.25">
      <c r="A54" s="81">
        <v>52</v>
      </c>
      <c r="B54" s="65" t="s">
        <v>65</v>
      </c>
      <c r="C54" s="23" t="s">
        <v>18</v>
      </c>
      <c r="D54" s="3" t="s">
        <v>133</v>
      </c>
      <c r="E54" s="72" t="s">
        <v>70</v>
      </c>
      <c r="F54" s="23" t="s">
        <v>38</v>
      </c>
      <c r="G54" s="23" t="s">
        <v>39</v>
      </c>
      <c r="H54" s="84" t="s">
        <v>144</v>
      </c>
      <c r="I54" t="s">
        <v>33</v>
      </c>
      <c r="J54" s="42" t="s">
        <v>135</v>
      </c>
    </row>
    <row r="55" spans="1:10" x14ac:dyDescent="0.25">
      <c r="A55" s="81">
        <v>54</v>
      </c>
      <c r="B55" s="65" t="s">
        <v>65</v>
      </c>
      <c r="C55" s="23" t="s">
        <v>24</v>
      </c>
      <c r="D55" s="3" t="s">
        <v>138</v>
      </c>
      <c r="E55" s="70" t="s">
        <v>72</v>
      </c>
      <c r="F55" s="23" t="s">
        <v>38</v>
      </c>
      <c r="G55" s="23" t="s">
        <v>39</v>
      </c>
      <c r="H55" s="84" t="s">
        <v>144</v>
      </c>
      <c r="I55" s="79" t="s">
        <v>157</v>
      </c>
      <c r="J55" s="42" t="s">
        <v>139</v>
      </c>
    </row>
    <row r="56" spans="1:10" x14ac:dyDescent="0.25">
      <c r="A56" s="81">
        <v>55</v>
      </c>
      <c r="B56" s="65" t="s">
        <v>65</v>
      </c>
      <c r="C56" s="23" t="s">
        <v>28</v>
      </c>
      <c r="D56" s="3" t="s">
        <v>140</v>
      </c>
      <c r="E56" s="72" t="s">
        <v>73</v>
      </c>
      <c r="F56" s="23" t="s">
        <v>38</v>
      </c>
      <c r="G56" s="23" t="s">
        <v>39</v>
      </c>
      <c r="H56" s="84" t="s">
        <v>144</v>
      </c>
      <c r="I56" t="s">
        <v>33</v>
      </c>
      <c r="J56" s="42" t="s">
        <v>28</v>
      </c>
    </row>
    <row r="57" spans="1:10" x14ac:dyDescent="0.25">
      <c r="A57" s="81">
        <v>56</v>
      </c>
      <c r="B57" s="65" t="s">
        <v>65</v>
      </c>
      <c r="C57" s="23" t="s">
        <v>32</v>
      </c>
      <c r="D57" s="4" t="s">
        <v>127</v>
      </c>
      <c r="E57" s="72" t="s">
        <v>74</v>
      </c>
      <c r="F57" s="23" t="s">
        <v>38</v>
      </c>
      <c r="G57" s="23" t="s">
        <v>39</v>
      </c>
      <c r="H57" s="84" t="s">
        <v>144</v>
      </c>
      <c r="I57" s="79" t="s">
        <v>157</v>
      </c>
      <c r="J57" s="42" t="s">
        <v>32</v>
      </c>
    </row>
    <row r="58" spans="1:10" x14ac:dyDescent="0.25">
      <c r="A58" s="81">
        <v>58</v>
      </c>
      <c r="B58" s="65" t="s">
        <v>88</v>
      </c>
      <c r="C58" s="3" t="s">
        <v>13</v>
      </c>
      <c r="D58" s="3" t="s">
        <v>130</v>
      </c>
      <c r="E58" s="66" t="s">
        <v>90</v>
      </c>
      <c r="F58" s="3" t="s">
        <v>11</v>
      </c>
      <c r="G58" s="3" t="s">
        <v>91</v>
      </c>
      <c r="H58" s="84" t="s">
        <v>144</v>
      </c>
      <c r="I58" t="s">
        <v>158</v>
      </c>
      <c r="J58" s="42" t="s">
        <v>142</v>
      </c>
    </row>
    <row r="59" spans="1:10" x14ac:dyDescent="0.25">
      <c r="A59" s="81">
        <v>59</v>
      </c>
      <c r="B59" s="65" t="s">
        <v>88</v>
      </c>
      <c r="C59" s="3" t="s">
        <v>13</v>
      </c>
      <c r="D59" s="3" t="s">
        <v>130</v>
      </c>
      <c r="E59" s="20" t="s">
        <v>92</v>
      </c>
      <c r="F59" s="3" t="s">
        <v>11</v>
      </c>
      <c r="G59" s="3" t="s">
        <v>93</v>
      </c>
      <c r="H59" s="84" t="s">
        <v>144</v>
      </c>
      <c r="I59" s="79" t="s">
        <v>158</v>
      </c>
      <c r="J59" s="42" t="s">
        <v>145</v>
      </c>
    </row>
    <row r="60" spans="1:10" x14ac:dyDescent="0.25">
      <c r="A60" s="81">
        <v>63</v>
      </c>
      <c r="B60" s="65" t="s">
        <v>88</v>
      </c>
      <c r="C60" s="3" t="s">
        <v>28</v>
      </c>
      <c r="D60" s="3" t="s">
        <v>140</v>
      </c>
      <c r="E60" s="20" t="s">
        <v>97</v>
      </c>
      <c r="F60" s="3" t="s">
        <v>11</v>
      </c>
      <c r="G60" s="3" t="s">
        <v>98</v>
      </c>
      <c r="H60" s="97" t="s">
        <v>144</v>
      </c>
      <c r="I60" t="s">
        <v>33</v>
      </c>
      <c r="J60" s="42" t="s">
        <v>28</v>
      </c>
    </row>
    <row r="61" spans="1:10" x14ac:dyDescent="0.25">
      <c r="A61" s="81">
        <v>64</v>
      </c>
      <c r="B61" s="65" t="s">
        <v>88</v>
      </c>
      <c r="C61" s="3" t="s">
        <v>32</v>
      </c>
      <c r="D61" s="4" t="s">
        <v>127</v>
      </c>
      <c r="E61" s="20" t="s">
        <v>99</v>
      </c>
      <c r="F61" s="3" t="s">
        <v>11</v>
      </c>
      <c r="G61" s="3" t="s">
        <v>100</v>
      </c>
      <c r="H61" s="97" t="s">
        <v>144</v>
      </c>
      <c r="I61" s="79" t="s">
        <v>33</v>
      </c>
      <c r="J61" s="42" t="s">
        <v>32</v>
      </c>
    </row>
    <row r="62" spans="1:10" x14ac:dyDescent="0.25">
      <c r="A62" s="81">
        <v>57</v>
      </c>
      <c r="B62" s="65" t="s">
        <v>88</v>
      </c>
      <c r="C62" s="3" t="s">
        <v>9</v>
      </c>
      <c r="D62" s="88" t="s">
        <v>128</v>
      </c>
      <c r="E62" s="20" t="s">
        <v>89</v>
      </c>
      <c r="F62" s="3" t="s">
        <v>38</v>
      </c>
      <c r="G62" s="3" t="s">
        <v>39</v>
      </c>
      <c r="H62" s="84" t="s">
        <v>144</v>
      </c>
      <c r="I62" t="s">
        <v>147</v>
      </c>
      <c r="J62" s="42" t="s">
        <v>9</v>
      </c>
    </row>
    <row r="63" spans="1:10" x14ac:dyDescent="0.25">
      <c r="A63" s="81">
        <v>60</v>
      </c>
      <c r="B63" s="65" t="s">
        <v>88</v>
      </c>
      <c r="C63" s="3" t="s">
        <v>18</v>
      </c>
      <c r="D63" s="3" t="s">
        <v>133</v>
      </c>
      <c r="E63" s="20" t="s">
        <v>94</v>
      </c>
      <c r="F63" s="3" t="s">
        <v>38</v>
      </c>
      <c r="G63" s="3" t="s">
        <v>39</v>
      </c>
      <c r="H63" s="84" t="s">
        <v>144</v>
      </c>
      <c r="I63" t="s">
        <v>159</v>
      </c>
      <c r="J63" s="42" t="s">
        <v>135</v>
      </c>
    </row>
    <row r="64" spans="1:10" x14ac:dyDescent="0.25">
      <c r="A64" s="81">
        <v>61</v>
      </c>
      <c r="B64" s="65" t="s">
        <v>88</v>
      </c>
      <c r="C64" s="3" t="s">
        <v>21</v>
      </c>
      <c r="D64" s="3" t="s">
        <v>136</v>
      </c>
      <c r="E64" s="66" t="s">
        <v>95</v>
      </c>
      <c r="F64" s="3" t="s">
        <v>38</v>
      </c>
      <c r="G64" s="3" t="s">
        <v>39</v>
      </c>
      <c r="H64" s="84" t="s">
        <v>144</v>
      </c>
      <c r="I64" t="s">
        <v>159</v>
      </c>
      <c r="J64" s="42" t="s">
        <v>137</v>
      </c>
    </row>
    <row r="65" spans="1:10" x14ac:dyDescent="0.25">
      <c r="A65" s="81">
        <v>62</v>
      </c>
      <c r="B65" s="65" t="s">
        <v>88</v>
      </c>
      <c r="C65" s="3" t="s">
        <v>24</v>
      </c>
      <c r="D65" s="3" t="s">
        <v>138</v>
      </c>
      <c r="E65" s="20" t="s">
        <v>96</v>
      </c>
      <c r="F65" s="3" t="s">
        <v>38</v>
      </c>
      <c r="G65" s="3" t="s">
        <v>39</v>
      </c>
      <c r="H65" s="84" t="s">
        <v>144</v>
      </c>
      <c r="I65" t="s">
        <v>147</v>
      </c>
      <c r="J65" s="42" t="s">
        <v>139</v>
      </c>
    </row>
    <row r="66" spans="1:10" x14ac:dyDescent="0.25">
      <c r="A66" s="81">
        <v>65</v>
      </c>
      <c r="B66" s="65" t="s">
        <v>114</v>
      </c>
      <c r="C66" s="3" t="s">
        <v>9</v>
      </c>
      <c r="D66" s="88" t="s">
        <v>128</v>
      </c>
      <c r="E66" s="3" t="s">
        <v>115</v>
      </c>
      <c r="F66" s="3" t="s">
        <v>11</v>
      </c>
      <c r="G66" s="3" t="s">
        <v>116</v>
      </c>
      <c r="H66" s="97" t="s">
        <v>144</v>
      </c>
      <c r="I66" t="s">
        <v>33</v>
      </c>
      <c r="J66" s="42" t="s">
        <v>9</v>
      </c>
    </row>
    <row r="67" spans="1:10" x14ac:dyDescent="0.25">
      <c r="A67" s="81">
        <v>72</v>
      </c>
      <c r="B67" s="65" t="s">
        <v>114</v>
      </c>
      <c r="C67" s="3" t="s">
        <v>32</v>
      </c>
      <c r="D67" s="4" t="s">
        <v>127</v>
      </c>
      <c r="E67" s="3" t="s">
        <v>122</v>
      </c>
      <c r="F67" s="3" t="s">
        <v>11</v>
      </c>
      <c r="G67" s="3" t="s">
        <v>116</v>
      </c>
      <c r="H67" s="97" t="s">
        <v>144</v>
      </c>
      <c r="I67" t="s">
        <v>33</v>
      </c>
      <c r="J67" s="42" t="s">
        <v>32</v>
      </c>
    </row>
    <row r="68" spans="1:10" x14ac:dyDescent="0.25">
      <c r="A68" s="81">
        <v>66</v>
      </c>
      <c r="B68" s="65" t="s">
        <v>114</v>
      </c>
      <c r="C68" s="3" t="s">
        <v>13</v>
      </c>
      <c r="D68" s="3" t="s">
        <v>130</v>
      </c>
      <c r="E68" s="3" t="s">
        <v>117</v>
      </c>
      <c r="F68" s="3" t="s">
        <v>38</v>
      </c>
      <c r="G68" s="3" t="s">
        <v>39</v>
      </c>
      <c r="H68" s="84" t="s">
        <v>144</v>
      </c>
      <c r="I68" s="79" t="s">
        <v>160</v>
      </c>
      <c r="J68" s="42" t="s">
        <v>132</v>
      </c>
    </row>
    <row r="69" spans="1:10" x14ac:dyDescent="0.25">
      <c r="A69" s="81">
        <v>67</v>
      </c>
      <c r="B69" s="65" t="s">
        <v>114</v>
      </c>
      <c r="C69" s="3" t="s">
        <v>18</v>
      </c>
      <c r="D69" s="3" t="s">
        <v>133</v>
      </c>
      <c r="E69" s="3" t="s">
        <v>118</v>
      </c>
      <c r="F69" s="3" t="s">
        <v>38</v>
      </c>
      <c r="G69" s="3" t="s">
        <v>39</v>
      </c>
      <c r="H69" s="84" t="s">
        <v>144</v>
      </c>
      <c r="I69" t="s">
        <v>33</v>
      </c>
      <c r="J69" s="42" t="s">
        <v>161</v>
      </c>
    </row>
    <row r="70" spans="1:10" x14ac:dyDescent="0.25">
      <c r="A70" s="81">
        <v>68</v>
      </c>
      <c r="B70" s="65" t="s">
        <v>114</v>
      </c>
      <c r="C70" s="3" t="s">
        <v>21</v>
      </c>
      <c r="D70" s="3" t="s">
        <v>136</v>
      </c>
      <c r="E70" s="71" t="s">
        <v>119</v>
      </c>
      <c r="F70" s="3" t="s">
        <v>38</v>
      </c>
      <c r="G70" s="3" t="s">
        <v>39</v>
      </c>
      <c r="H70" s="84" t="s">
        <v>144</v>
      </c>
      <c r="I70" t="s">
        <v>162</v>
      </c>
      <c r="J70" s="42" t="s">
        <v>142</v>
      </c>
    </row>
    <row r="71" spans="1:10" x14ac:dyDescent="0.25">
      <c r="A71" s="81">
        <v>69</v>
      </c>
      <c r="B71" s="65" t="s">
        <v>114</v>
      </c>
      <c r="C71" s="3" t="s">
        <v>21</v>
      </c>
      <c r="D71" s="3" t="s">
        <v>136</v>
      </c>
      <c r="E71" s="71" t="s">
        <v>120</v>
      </c>
      <c r="F71" s="3" t="s">
        <v>38</v>
      </c>
      <c r="G71" s="3" t="s">
        <v>39</v>
      </c>
      <c r="H71" s="84" t="s">
        <v>144</v>
      </c>
      <c r="I71" t="s">
        <v>163</v>
      </c>
      <c r="J71" s="42" t="s">
        <v>145</v>
      </c>
    </row>
    <row r="72" spans="1:10" x14ac:dyDescent="0.25">
      <c r="A72" s="81">
        <v>71</v>
      </c>
      <c r="B72" s="65" t="s">
        <v>114</v>
      </c>
      <c r="C72" s="3" t="s">
        <v>28</v>
      </c>
      <c r="D72" s="3" t="s">
        <v>140</v>
      </c>
      <c r="E72" s="71" t="s">
        <v>121</v>
      </c>
      <c r="F72" s="3" t="s">
        <v>38</v>
      </c>
      <c r="G72" s="3" t="s">
        <v>39</v>
      </c>
      <c r="H72" s="84" t="s">
        <v>144</v>
      </c>
      <c r="I72" s="79" t="s">
        <v>162</v>
      </c>
      <c r="J72" s="42" t="s">
        <v>28</v>
      </c>
    </row>
    <row r="73" spans="1:10" x14ac:dyDescent="0.25">
      <c r="A73" s="81">
        <v>70</v>
      </c>
      <c r="B73" s="64" t="s">
        <v>114</v>
      </c>
      <c r="C73" s="83" t="s">
        <v>24</v>
      </c>
      <c r="D73" s="3" t="s">
        <v>138</v>
      </c>
      <c r="E73" s="83" t="s">
        <v>33</v>
      </c>
      <c r="F73" s="83"/>
      <c r="G73" s="83"/>
      <c r="H73" s="85"/>
      <c r="I73" s="80"/>
    </row>
  </sheetData>
  <hyperlinks>
    <hyperlink ref="J72" r:id="rId1" display="https://binusianorg.sharepoint.com/sites/RCDC/Shared Documents/Data Center RCDC/DATA CATURDARMA SETIAP FM/Hubungan Masyarakat/AKREDITAS/AKREDITASI PR/REPORT PKM PRODI PR/Periode 2023-2024/Genap 2023-2024/Nisrin Husna?csf=1&amp;web=1&amp;e=J3wGo3" xr:uid="{28C3F367-BE04-4158-A970-D98C5FEE8F7D}"/>
    <hyperlink ref="J71" r:id="rId2" display="https://binusianorg.sharepoint.com/sites/RCDC/Shared Documents/Data Center RCDC/DATA CATURDARMA SETIAP FM/Hubungan Masyarakat/AKREDITAS/AKREDITASI PR/REPORT PKM PRODI PR/Periode 2023-2024/Genap 2023-2024/Gabriella Sagita/PKM 2?csf=1&amp;web=1&amp;e=Bc0HB0" xr:uid="{A2C27F3A-DBC3-4B0E-9191-852B9B065380}"/>
    <hyperlink ref="J70" r:id="rId3" display="https://binusianorg.sharepoint.com/sites/RCDC/Shared Documents/Data Center RCDC/DATA CATURDARMA SETIAP FM/Hubungan Masyarakat/AKREDITAS/AKREDITASI PR/REPORT PKM PRODI PR/Periode 2023-2024/Genap 2023-2024/Gabriella Sagita/PKM 1?csf=1&amp;web=1&amp;e=sSfrzT" xr:uid="{C2426AA9-B454-4505-B94C-DA4DE78DBBB8}"/>
    <hyperlink ref="J69" r:id="rId4" display="https://binusianorg.sharepoint.com/sites/RCDC/Shared Documents/Data Center RCDC/DATA CATURDARMA SETIAP FM/Hubungan Masyarakat/AKREDITAS/AKREDITASI PR/REPORT PKM PRODI PR/Periode 2023-2024/Genap 2023-2024/Efflina Mona?csf=1&amp;web=1&amp;e=YghxKG" xr:uid="{22272A71-8B74-42F1-8C3A-C8670D101D42}"/>
    <hyperlink ref="J68" r:id="rId5" display="https://binusianorg.sharepoint.com/sites/RCDC/Shared Documents/Data Center RCDC/DATA CATURDARMA SETIAP FM/Hubungan Masyarakat/AKREDITAS/AKREDITASI PR/REPORT PKM PRODI PR/Periode 2023-2024/Genap 2023-2024/Adhimurti Citra Amalia?csf=1&amp;web=1&amp;e=O9y7EW" xr:uid="{A3A28A68-508D-44E6-A18E-4A49F0D6B479}"/>
    <hyperlink ref="J65" r:id="rId6" display="https://binusianorg.sharepoint.com/sites/RCDC/Shared Documents/Data Center RCDC/DATA CATURDARMA SETIAP FM/Hubungan Masyarakat/AKREDITAS/AKREDITASI PR/REPORT PKM PRODI PR/Periode 2022-2023/Genap/Galuh Ayu Safitri?csf=1&amp;web=1&amp;e=Jvofbt" xr:uid="{5530FAB4-0AC8-4141-AC8C-B0F5905194EA}"/>
    <hyperlink ref="J64" r:id="rId7" display="https://binusianorg.sharepoint.com/sites/RCDC/Shared Documents/Data Center RCDC/DATA CATURDARMA SETIAP FM/Hubungan Masyarakat/AKREDITAS/AKREDITASI PR/REPORT PKM PRODI PR/Periode 2022-2023/Genap/Gabriella Sagita?csf=1&amp;web=1&amp;e=gynYcK" xr:uid="{709E6FA5-87F6-47A2-863F-32269F81A2EF}"/>
    <hyperlink ref="J63" r:id="rId8" display="https://binusianorg.sharepoint.com/sites/RCDC/Shared Documents/Data Center RCDC/DATA CATURDARMA SETIAP FM/Hubungan Masyarakat/AKREDITAS/AKREDITASI PR/REPORT PKM PRODI PR/Periode 2022-2023/Genap/Eflina Mona?csf=1&amp;web=1&amp;e=IQqKxA" xr:uid="{0C702008-13C7-4BD8-8AA7-5DD906BDAE3D}"/>
    <hyperlink ref="J62" r:id="rId9" display="https://binusianorg.sharepoint.com/sites/RCDC/Shared Documents/Data Center RCDC/DATA CATURDARMA SETIAP FM/Hubungan Masyarakat/AKREDITAS/AKREDITASI PR/REPORT PKM PRODI PR/Periode 2022-2023/Genap/Achmad Safiaji?csf=1&amp;web=1&amp;e=CWMwt3" xr:uid="{090101BF-6E7E-4903-9830-24BB8E5C9E2B}"/>
    <hyperlink ref="J57" r:id="rId10" display="https://binusianorg.sharepoint.com/sites/RCDC/Shared Documents/Data Center RCDC/DATA CATURDARMA SETIAP FM/Hubungan Masyarakat/AKREDITAS/AKREDITASI PR/REPORT PKM PRODI PR/Periode 2021-2022/Genap/Okky Pramudita?csf=1&amp;web=1&amp;e=HS2LCT" xr:uid="{F3CA1892-8805-4D14-8D31-BC49F65A798D}"/>
    <hyperlink ref="J56" r:id="rId11" display="https://binusianorg.sharepoint.com/sites/RCDC/Shared Documents/Data Center RCDC/DATA CATURDARMA SETIAP FM/Hubungan Masyarakat/AKREDITAS/AKREDITASI PR/REPORT PKM PRODI PR/Periode 2021-2022/Genap/Nisrin Husna?csf=1&amp;web=1&amp;e=CVLuPm" xr:uid="{35CE663B-059C-46AB-B2F6-C3E7A6B8E3E0}"/>
    <hyperlink ref="J55" r:id="rId12" display="https://binusianorg.sharepoint.com/sites/RCDC/Shared Documents/Data Center RCDC/DATA CATURDARMA SETIAP FM/Hubungan Masyarakat/AKREDITAS/AKREDITASI PR/REPORT PKM PRODI PR/Periode 2021-2022/Genap/Galuh Ayu Safitri?csf=1&amp;web=1&amp;e=OlzRZH" xr:uid="{228378C7-E1E3-48D8-86C6-9933B6453392}"/>
    <hyperlink ref="J54" r:id="rId13" display="https://binusianorg.sharepoint.com/sites/RCDC/Shared Documents/Data Center RCDC/DATA CATURDARMA SETIAP FM/Hubungan Masyarakat/AKREDITAS/AKREDITASI PR/REPORT PKM PRODI PR/Periode 2021-2022/Genap/Eflina Mona?csf=1&amp;web=1&amp;e=MfLcwe" xr:uid="{664F2C14-0A45-4F99-A2A3-32F6606776E1}"/>
    <hyperlink ref="J50" r:id="rId14" display="https://binusianorg.sharepoint.com/sites/RCDC/Shared Documents/Data Center RCDC/DATA CATURDARMA SETIAP FM/Hubungan Masyarakat/AKREDITAS/AKREDITASI PR/REPORT PKM PRODI PR/Periode 2020-2021/Genap/Okky Pramudita/PKM 2?csf=1&amp;web=1&amp;e=2P4QCT" xr:uid="{D12D4E0B-ABBA-4CC6-B36E-9182FC36C4D0}"/>
    <hyperlink ref="J49" r:id="rId15" display="https://binusianorg.sharepoint.com/sites/RCDC/Shared Documents/Data Center RCDC/DATA CATURDARMA SETIAP FM/Hubungan Masyarakat/AKREDITAS/AKREDITASI PR/REPORT PKM PRODI PR/Periode 2020-2021/Genap/Okky Pramudita/PKM 1?csf=1&amp;web=1&amp;e=2ScV3f" xr:uid="{B297D557-6880-459D-9A61-22CC7C76E357}"/>
    <hyperlink ref="J48" r:id="rId16" display="https://binusianorg.sharepoint.com/sites/RCDC/Shared Documents/Data Center RCDC/DATA CATURDARMA SETIAP FM/Hubungan Masyarakat/AKREDITAS/AKREDITASI PR/REPORT PKM PRODI PR/Periode 2020-2021/Genap/Nisrin Husna?csf=1&amp;web=1&amp;e=ghUdZ4" xr:uid="{C64A6F1E-1F67-4A4D-B9AD-085F7F479A9D}"/>
    <hyperlink ref="J47" r:id="rId17" display="https://binusianorg.sharepoint.com/sites/RCDC/Shared Documents/Data Center RCDC/DATA CATURDARMA SETIAP FM/Hubungan Masyarakat/AKREDITAS/AKREDITASI PR/REPORT PKM PRODI PR/Periode 2020-2021/Genap/Galuh Ayu Safitri?csf=1&amp;web=1&amp;e=aUSeHp" xr:uid="{1E1976C8-2F7F-4569-8DD3-99D5D6B7454C}"/>
    <hyperlink ref="J45" r:id="rId18" display="https://binusianorg.sharepoint.com/sites/RCDC/Shared Documents/Data Center RCDC/DATA CATURDARMA SETIAP FM/Hubungan Masyarakat/AKREDITAS/AKREDITASI PR/REPORT PKM PRODI PR/Periode 2020-2021/Genap/Gabriella Sagita/PKM 1?csf=1&amp;web=1&amp;e=GnzS3q" xr:uid="{15835443-B72A-40A0-93DB-032D17F93B58}"/>
    <hyperlink ref="J46" r:id="rId19" display="https://binusianorg.sharepoint.com/sites/RCDC/Shared Documents/Data Center RCDC/DATA CATURDARMA SETIAP FM/Hubungan Masyarakat/AKREDITAS/AKREDITASI PR/REPORT PKM PRODI PR/Periode 2020-2021/Genap/Gabriella Sagita/PKM 2?csf=1&amp;web=1&amp;e=ErWmAy" xr:uid="{0A30802C-5E3A-4D36-ACA8-17D868BE479E}"/>
    <hyperlink ref="J44" r:id="rId20" display="https://binusianorg.sharepoint.com/sites/RCDC/Shared Documents/Data Center RCDC/DATA CATURDARMA SETIAP FM/Hubungan Masyarakat/AKREDITAS/AKREDITASI PR/REPORT PKM PRODI PR/Periode 2020-2021/Genap/Eflina Mona?csf=1&amp;web=1&amp;e=KbbMjh" xr:uid="{0CB22463-F4F8-4EFE-9DFC-A9CFE578BF72}"/>
    <hyperlink ref="J42" r:id="rId21" display="https://binusianorg.sharepoint.com/sites/RCDC/Shared Documents/Data Center RCDC/DATA CATURDARMA SETIAP FM/Hubungan Masyarakat/AKREDITAS/AKREDITASI PR/REPORT PKM PRODI PR/Periode 2020-2021/Genap/Adhimurti Citra Amalia/PKM 1?csf=1&amp;web=1&amp;e=3JzB9o" xr:uid="{0592AD7E-8B0F-4F1D-826D-E27BB4A2C999}"/>
    <hyperlink ref="J43" r:id="rId22" display="https://binusianorg.sharepoint.com/sites/RCDC/Shared Documents/Data Center RCDC/DATA CATURDARMA SETIAP FM/Hubungan Masyarakat/AKREDITAS/AKREDITASI PR/REPORT PKM PRODI PR/Periode 2020-2021/Genap/Adhimurti Citra Amalia/PKM 2?csf=1&amp;web=1&amp;e=QCmiz5" xr:uid="{5C6C4C4A-F52B-45A8-B129-E04879EA44C8}"/>
    <hyperlink ref="J41" r:id="rId23" display="https://binusianorg.sharepoint.com/sites/RCDC/Shared Documents/Data Center RCDC/DATA CATURDARMA SETIAP FM/Hubungan Masyarakat/AKREDITAS/AKREDITASI PR/REPORT PKM PRODI PR/Periode 2020-2021/Genap/Achmad Safiaji?csf=1&amp;web=1&amp;e=N1GMfZ" xr:uid="{DD483E02-0826-4A95-A13E-63514A2E64EB}"/>
    <hyperlink ref="J39" r:id="rId24" display="https://binusianorg.sharepoint.com/sites/RCDC/Shared Documents/Data Center RCDC/DATA CATURDARMA SETIAP FM/Hubungan Masyarakat/AKREDITAS/AKREDITASI PR/REPORT PKM PRODI PR/Periode 2023-2024/Ganjil 2023-2024/Okky Pramudita?csf=1&amp;web=1&amp;e=HWus5T" xr:uid="{3F9446B6-BB74-41F3-8153-13471405042E}"/>
    <hyperlink ref="J38" r:id="rId25" display="https://binusianorg.sharepoint.com/sites/RCDC/Shared Documents/Data Center RCDC/DATA CATURDARMA SETIAP FM/Hubungan Masyarakat/AKREDITAS/AKREDITASI PR/REPORT PKM PRODI PR/Periode 2023-2024/Ganjil 2023-2024/Galuh Ayu Safitri?csf=1&amp;web=1&amp;e=7dVpQx" xr:uid="{B93123A8-5D39-48A7-B2FB-E12A43F002B3}"/>
    <hyperlink ref="J36" r:id="rId26" display="https://binusianorg.sharepoint.com/sites/RCDC/Shared Documents/Data Center RCDC/DATA CATURDARMA SETIAP FM/Hubungan Masyarakat/AKREDITAS/AKREDITASI PR/REPORT PKM PRODI PR/Periode 2023-2024/Ganjil 2023-2024/Eflina Mona/PKM 1?csf=1&amp;web=1&amp;e=QQpdRW" xr:uid="{326B6AC3-74E3-4ACD-B458-7C50D00DC9DB}"/>
    <hyperlink ref="J37" r:id="rId27" display="https://binusianorg.sharepoint.com/sites/RCDC/Shared Documents/Data Center RCDC/DATA CATURDARMA SETIAP FM/Hubungan Masyarakat/AKREDITAS/AKREDITASI PR/REPORT PKM PRODI PR/Periode 2023-2024/Ganjil 2023-2024/Eflina Mona/PKM 2?csf=1&amp;web=1&amp;e=pcSAHZ" xr:uid="{47A312F2-61EE-487B-A02F-E72168E27ABF}"/>
    <hyperlink ref="J35" r:id="rId28" display="https://binusianorg.sharepoint.com/sites/RCDC/Shared Documents/Data Center RCDC/DATA CATURDARMA SETIAP FM/Hubungan Masyarakat/AKREDITAS/AKREDITASI PR/REPORT PKM PRODI PR/Periode 2023-2024/Ganjil 2023-2024/Adhi Murti Candra Amalia/PKM 2?csf=1&amp;web=1&amp;e=U0r9dx" xr:uid="{437EB02B-D5CE-41E1-8E32-DB65DB46166B}"/>
    <hyperlink ref="J34" r:id="rId29" display="https://binusianorg.sharepoint.com/sites/RCDC/Shared Documents/Data Center RCDC/DATA CATURDARMA SETIAP FM/Hubungan Masyarakat/AKREDITAS/AKREDITASI PR/REPORT PKM PRODI PR/Periode 2023-2024/Ganjil 2023-2024/Achmad Safiaji?csf=1&amp;web=1&amp;e=GWoamc" xr:uid="{E7E65F02-0552-4687-A577-787225149650}"/>
    <hyperlink ref="J31" r:id="rId30" display="https://binusianorg.sharepoint.com/sites/RCDC/Shared Documents/Data Center RCDC/DATA CATURDARMA SETIAP FM/Hubungan Masyarakat/AKREDITAS/AKREDITASI PR/REPORT PKM PRODI PR/Periode 2022-2023/Ganjil/Okky Pramudita?csf=1&amp;web=1&amp;e=ieu4PV" xr:uid="{6B3CA5E0-83C8-426D-8289-44353549423B}"/>
    <hyperlink ref="J30" r:id="rId31" display="https://binusianorg.sharepoint.com/sites/RCDC/Shared Documents/Data Center RCDC/DATA CATURDARMA SETIAP FM/Hubungan Masyarakat/AKREDITAS/AKREDITASI PR/REPORT PKM PRODI PR/Periode 2022-2023/Ganjil/Nisrin Husna?csf=1&amp;web=1&amp;e=NjYsHF" xr:uid="{2A5F38A7-3858-4F30-A72A-DE588A0FAB46}"/>
    <hyperlink ref="J29" r:id="rId32" display="https://binusianorg.sharepoint.com/sites/RCDC/Shared Documents/Data Center RCDC/DATA CATURDARMA SETIAP FM/Hubungan Masyarakat/AKREDITAS/AKREDITASI PR/REPORT PKM PRODI PR/Periode 2022-2023/Ganjil/Eflina Mona?csf=1&amp;web=1&amp;e=wlSNiq" xr:uid="{9A341EF4-9BFE-438A-8AD9-AE866BA193BD}"/>
    <hyperlink ref="J27" r:id="rId33" display="https://binusianorg.sharepoint.com/sites/RCDC/Shared Documents/Data Center RCDC/DATA CATURDARMA SETIAP FM/Hubungan Masyarakat/AKREDITAS/AKREDITASI PR/REPORT PKM PRODI PR/Periode 2022-2023/Ganjil/Adhimurti Citra Amalia/PKM 1?csf=1&amp;web=1&amp;e=wuH7Gw" xr:uid="{6511D54E-D717-4CA4-9EEB-3772CCEC0EB2}"/>
    <hyperlink ref="J28" r:id="rId34" display="https://binusianorg.sharepoint.com/sites/RCDC/Shared Documents/Data Center RCDC/DATA CATURDARMA SETIAP FM/Hubungan Masyarakat/AKREDITAS/AKREDITASI PR/REPORT PKM PRODI PR/Periode 2022-2023/Ganjil/Adhimurti Citra Amalia/PKM 2?csf=1&amp;web=1&amp;e=9Eyp1C" xr:uid="{502732E0-D58C-45AE-943A-5F9CFAD8F8A9}"/>
    <hyperlink ref="J26" r:id="rId35" display="https://binusianorg.sharepoint.com/sites/RCDC/Shared Documents/Data Center RCDC/DATA CATURDARMA SETIAP FM/Hubungan Masyarakat/AKREDITAS/AKREDITASI PR/REPORT PKM PRODI PR/Periode 2022-2023/Ganjil/Achmad Safiaji?csf=1&amp;web=1&amp;e=GnfdMq" xr:uid="{849A6C5E-788E-45D4-8569-EAE679C0D96A}"/>
    <hyperlink ref="J22" r:id="rId36" display="https://binusianorg.sharepoint.com/sites/RCDC/Shared Documents/Data Center RCDC/DATA CATURDARMA SETIAP FM/Hubungan Masyarakat/AKREDITAS/AKREDITASI PR/REPORT PKM PRODI PR/Periode 2021-2022/Ganjil/Okky Pramudita?csf=1&amp;web=1&amp;e=wwYIiv" xr:uid="{70896841-A964-470A-8017-964939C37CF9}"/>
    <hyperlink ref="J21" r:id="rId37" display="https://binusianorg.sharepoint.com/sites/RCDC/Shared Documents/Data Center RCDC/DATA CATURDARMA SETIAP FM/Hubungan Masyarakat/AKREDITAS/AKREDITASI PR/REPORT PKM PRODI PR/Periode 2021-2022/Ganjil/Nisrin Husna?csf=1&amp;web=1&amp;e=8j3FqW" xr:uid="{8122B155-34BB-404A-A21E-012143E948A2}"/>
    <hyperlink ref="J20" r:id="rId38" display="https://binusianorg.sharepoint.com/sites/RCDC/Shared Documents/Data Center RCDC/DATA CATURDARMA SETIAP FM/Hubungan Masyarakat/AKREDITAS/AKREDITASI PR/REPORT PKM PRODI PR/Periode 2021-2022/Ganjil/Gabriella Sagita/PKM 2?csf=1&amp;web=1&amp;e=kmTcbZ" xr:uid="{59C667D8-A8AE-4863-81D9-4D36FDC53006}"/>
    <hyperlink ref="J18" r:id="rId39" display="https://binusianorg.sharepoint.com/sites/RCDC/Shared Documents/Data Center RCDC/DATA CATURDARMA SETIAP FM/Hubungan Masyarakat/AKREDITAS/AKREDITASI PR/REPORT PKM PRODI PR/Periode 2021-2022/Ganjil/Achmad Safiaji?csf=1&amp;web=1&amp;e=8Gw54y" xr:uid="{978FBCC5-CA47-4617-80D0-03E9DAE21E25}"/>
    <hyperlink ref="J19" r:id="rId40" display="https://binusianorg.sharepoint.com/sites/RCDC/Shared Documents/Data Center RCDC/DATA CATURDARMA SETIAP FM/Hubungan Masyarakat/AKREDITAS/AKREDITASI PR/REPORT PKM PRODI PR/Periode 2021-2022/Ganjil/Eflina Mona?csf=1&amp;web=1&amp;e=hx6ZvJ" xr:uid="{4B785390-CED9-4DDC-A3F0-54E15963B758}"/>
    <hyperlink ref="J25" r:id="rId41" display="https://binusianorg.sharepoint.com/sites/RCDC/Shared Documents/Data Center RCDC/DATA CATURDARMA SETIAP FM/Hubungan Masyarakat/AKREDITAS/AKREDITASI PR/REPORT PKM PRODI PR/Periode 2022-2023/Ganjil/Galuh Ayu Safitri?csf=1&amp;web=1&amp;e=BTJgdT" xr:uid="{5B3A9629-CFEA-4B07-86E0-C832510B3059}"/>
    <hyperlink ref="J24" r:id="rId42" display="https://binusianorg.sharepoint.com/sites/RCDC/Shared Documents/Data Center RCDC/DATA CATURDARMA SETIAP FM/Hubungan Masyarakat/AKREDITAS/AKREDITASI PR/REPORT PKM PRODI PR/Periode 2022-2023/Ganjil/Gabriella Sagita/PKM 2?csf=1&amp;web=1&amp;e=k4j3sD" xr:uid="{C7541084-D795-4E1F-8F96-609DC99BE7FD}"/>
    <hyperlink ref="J23" r:id="rId43" display="https://binusianorg.sharepoint.com/sites/RCDC/Shared Documents/Data Center RCDC/DATA CATURDARMA SETIAP FM/Hubungan Masyarakat/AKREDITAS/AKREDITASI PR/REPORT PKM PRODI PR/Periode 2022-2023/Ganjil/Gabriella Sagita/PKM 1?csf=1&amp;web=1&amp;e=xDAOn7" xr:uid="{3AD7C57B-57E0-4E49-8677-67DE357ECD53}"/>
    <hyperlink ref="J17" r:id="rId44" display="https://binusianorg.sharepoint.com/sites/RCDC/Shared Documents/Data Center RCDC/DATA CATURDARMA SETIAP FM/Hubungan Masyarakat/AKREDITAS/AKREDITASI PR/REPORT PKM PRODI PR/Periode 2021-2022/Ganjil/Adhimurti Citra Amalia/PKM 2?csf=1&amp;web=1&amp;e=h8oyuB" xr:uid="{FA713787-927A-4230-A0CB-2468DEC47E43}"/>
    <hyperlink ref="J67" r:id="rId45" display="https://binusianorg.sharepoint.com/sites/RCDC/Shared Documents/Data Center RCDC/DATA CATURDARMA SETIAP FM/Hubungan Masyarakat/AKREDITAS/AKREDITASI PR/REPORT PKM PRODI PR/Periode 2023-2024/Genap 2023-2024/Okky Pramudita?csf=1&amp;web=1&amp;e=89mapr" xr:uid="{2A4326FF-F69C-4674-905C-05470A557C53}"/>
    <hyperlink ref="J66" r:id="rId46" display="https://binusianorg.sharepoint.com/sites/RCDC/Shared Documents/Data Center RCDC/DATA CATURDARMA SETIAP FM/Hubungan Masyarakat/AKREDITAS/AKREDITASI PR/REPORT PKM PRODI PR/Periode 2023-2024/Genap 2023-2024/Achmad Safiaji?csf=1&amp;web=1&amp;e=tN3Pl8" xr:uid="{45572361-26E6-4A25-8B7A-F070A2B6BA0E}"/>
    <hyperlink ref="J61" r:id="rId47" display="https://binusianorg.sharepoint.com/sites/RCDC/Shared Documents/Data Center RCDC/DATA CATURDARMA SETIAP FM/Hubungan Masyarakat/AKREDITAS/AKREDITASI PR/REPORT PKM PRODI PR/Periode 2022-2023/Genap/Okky Pramudita?csf=1&amp;web=1&amp;e=2OqEVg" xr:uid="{CCF12CD0-EAC4-4C89-922F-E1EE5973C294}"/>
    <hyperlink ref="J60" r:id="rId48" display="https://binusianorg.sharepoint.com/sites/RCDC/Shared Documents/Data Center RCDC/DATA CATURDARMA SETIAP FM/Hubungan Masyarakat/AKREDITAS/AKREDITASI PR/REPORT PKM PRODI PR/Periode 2022-2023/Genap/Nisrin Husna?csf=1&amp;web=1&amp;e=8um4kN" xr:uid="{8F90A822-425B-47CE-A22B-A5C5448CD20D}"/>
    <hyperlink ref="J58" r:id="rId49" display="https://binusianorg.sharepoint.com/sites/RCDC/Shared Documents/Data Center RCDC/DATA CATURDARMA SETIAP FM/Hubungan Masyarakat/AKREDITAS/AKREDITASI PR/REPORT PKM PRODI PR/Periode 2022-2023/Genap/Adhimurti Citra Amalia/PKM 1?csf=1&amp;web=1&amp;e=rQ1kGV" xr:uid="{380E463B-FAD5-4F46-93EC-3A873A305FB6}"/>
    <hyperlink ref="J59" r:id="rId50" display="https://binusianorg.sharepoint.com/sites/RCDC/Shared Documents/Data Center RCDC/DATA CATURDARMA SETIAP FM/Hubungan Masyarakat/AKREDITAS/AKREDITASI PR/REPORT PKM PRODI PR/Periode 2022-2023/Genap/Adhimurti Citra Amalia/PKM 2?csf=1&amp;web=1&amp;e=W0hqKU" xr:uid="{8CF4A2AD-7928-4A19-9A1D-E793FD595C4B}"/>
    <hyperlink ref="J53" r:id="rId51" display="https://binusianorg.sharepoint.com/sites/RCDC/Shared Documents/Data Center RCDC/DATA CATURDARMA SETIAP FM/Hubungan Masyarakat/AKREDITAS/AKREDITASI PR/REPORT PKM PRODI PR/Periode 2021-2022/Genap/Gabriella Sagita?csf=1&amp;web=1&amp;e=u7kFty" xr:uid="{BA556267-AD23-424C-8A07-97B8E1CCF7FE}"/>
    <hyperlink ref="J52" r:id="rId52" display="https://binusianorg.sharepoint.com/sites/RCDC/Shared Documents/Data Center RCDC/DATA CATURDARMA SETIAP FM/Hubungan Masyarakat/AKREDITAS/AKREDITASI PR/REPORT PKM PRODI PR/Periode 2021-2022/Genap/Adhimurti Citra Amalia?csf=1&amp;web=1&amp;e=UHW98t" xr:uid="{3156F286-19C1-4CBD-98D7-6A3DD29214B7}"/>
    <hyperlink ref="J51" r:id="rId53" display="https://binusianorg.sharepoint.com/sites/RCDC/Shared Documents/Data Center RCDC/DATA CATURDARMA SETIAP FM/Hubungan Masyarakat/AKREDITAS/AKREDITASI PR/REPORT PKM PRODI PR/Periode 2021-2022/Genap/Achmad Safiaji?csf=1&amp;web=1&amp;e=qLGup2" xr:uid="{D64C55E3-C8E7-4AC7-8DCC-FE8EA0B80C1D}"/>
    <hyperlink ref="J33" r:id="rId54" display="https://binusianorg.sharepoint.com/sites/RCDC/Shared Documents/Data Center RCDC/DATA CATURDARMA SETIAP FM/Hubungan Masyarakat/AKREDITAS/AKREDITASI PR/REPORT PKM PRODI PR/Periode 2023-2024/Ganjil 2023-2024/Gabriella Sagita?csf=1&amp;web=1&amp;e=OcBAsa" xr:uid="{66FDF3E7-59AB-4CFB-A539-31117CE04E42}"/>
    <hyperlink ref="J32" r:id="rId55" display="https://binusianorg.sharepoint.com/sites/RCDC/Shared Documents/Data Center RCDC/DATA CATURDARMA SETIAP FM/Hubungan Masyarakat/AKREDITAS/AKREDITASI PR/REPORT PKM PRODI PR/Periode 2023-2024/Ganjil 2023-2024/Adhi Murti Candra Amalia/PKM 1?csf=1&amp;web=1&amp;e=Y3pKsO" xr:uid="{21A7F424-3458-43D9-B80C-E03C3419AF18}"/>
    <hyperlink ref="J16" r:id="rId56" display="https://binusianorg.sharepoint.com/sites/RCDC/Shared Documents/Data Center RCDC/DATA CATURDARMA SETIAP FM/Hubungan Masyarakat/AKREDITAS/AKREDITASI PR/REPORT PKM PRODI PR/Periode 2021-2022/Ganjil/Gabriella Sagita/PKM 1?csf=1&amp;web=1&amp;e=CH6iyu" xr:uid="{0FA00349-D9C1-4AA1-868E-9C100CAD0BA3}"/>
    <hyperlink ref="J15" r:id="rId57" display="https://binusianorg.sharepoint.com/sites/RCDC/Shared Documents/Data Center RCDC/DATA CATURDARMA SETIAP FM/Hubungan Masyarakat/AKREDITAS/AKREDITASI PR/REPORT PKM PRODI PR/Periode 2021-2022/Ganjil/Eflina Mona/PKM 1?csf=1&amp;web=1&amp;e=weUy9W" xr:uid="{E5049301-9CE9-406E-A74A-DCAA1D12B0EA}"/>
    <hyperlink ref="J3" r:id="rId58" display="https://binusianorg.sharepoint.com/sites/RCDC/Shared Documents/Data Center RCDC/DATA CATURDARMA SETIAP FM/Hubungan Masyarakat/AKREDITAS/AKREDITASI PR/REPORT PKM PRODI PR/Periode 2020-2021/Ganjil/Achmad Safiaji?csf=1&amp;web=1&amp;e=mCGVz0" xr:uid="{4D3E84DD-2944-42EB-A903-87F8FB793A61}"/>
    <hyperlink ref="J5" r:id="rId59" display="https://binusianorg.sharepoint.com/sites/RCDC/Shared Documents/Data Center RCDC/DATA CATURDARMA SETIAP FM/Hubungan Masyarakat/AKREDITAS/AKREDITASI PR/REPORT PKM PRODI PR/Periode 2020-2021/Ganjil/Adhimurti Citra Amalia?csf=1&amp;web=1&amp;e=vW37Jb" xr:uid="{79BC5DDA-45C8-4D25-9547-935121571D22}"/>
    <hyperlink ref="J6" r:id="rId60" display="https://binusianorg.sharepoint.com/sites/RCDC/Shared Documents/Data Center RCDC/DATA CATURDARMA SETIAP FM/Hubungan Masyarakat/AKREDITAS/AKREDITASI PR/REPORT PKM PRODI PR/Periode 2020-2021/Ganjil/Adhimurti Citra Amalia?csf=1&amp;web=1&amp;e=vW37Jb" xr:uid="{3B35D031-4606-4FFB-8B1B-66CE928A698B}"/>
    <hyperlink ref="J4" r:id="rId61" display="https://binusianorg.sharepoint.com/sites/RCDC/Shared Documents/Data Center RCDC/DATA CATURDARMA SETIAP FM/Hubungan Masyarakat/AKREDITAS/AKREDITASI PR/REPORT PKM PRODI PR/Periode 2020-2021/Ganjil/Adhimurti Citra Amalia?csf=1&amp;web=1&amp;e=vW37Jb" xr:uid="{64C26710-96E4-4B22-B9CC-A04683CDF8E6}"/>
    <hyperlink ref="J7" r:id="rId62" display="https://binusianorg.sharepoint.com/sites/RCDC/Shared Documents/Data Center RCDC/DATA CATURDARMA SETIAP FM/Hubungan Masyarakat/AKREDITAS/AKREDITASI PR/REPORT PKM PRODI PR/Periode 2020-2021/Ganjil/Eflina Mona?csf=1&amp;web=1&amp;e=dRQhWK" xr:uid="{6ADFA46B-B74E-4785-B578-509045ED25A1}"/>
    <hyperlink ref="J8" r:id="rId63" display="https://binusianorg.sharepoint.com/sites/RCDC/Shared Documents/Data Center RCDC/DATA CATURDARMA SETIAP FM/Hubungan Masyarakat/AKREDITAS/AKREDITASI PR/REPORT PKM PRODI PR/Periode 2020-2021/Ganjil/Gabriella Sagita?csf=1&amp;web=1&amp;e=zXriri" xr:uid="{55D64050-A335-4658-B2EB-5BDB72C6159F}"/>
    <hyperlink ref="J9" r:id="rId64" display="https://binusianorg.sharepoint.com/sites/RCDC/Shared Documents/Data Center RCDC/DATA CATURDARMA SETIAP FM/Hubungan Masyarakat/AKREDITAS/AKREDITASI PR/REPORT PKM PRODI PR/Periode 2020-2021/Ganjil/Galuh Ayu Safitri?csf=1&amp;web=1&amp;e=QnLO4k" xr:uid="{D2F9EC4B-EFAD-486E-B644-F1FC78809CE3}"/>
    <hyperlink ref="J10" r:id="rId65" display="https://binusianorg.sharepoint.com/sites/RCDC/Shared Documents/Data Center RCDC/DATA CATURDARMA SETIAP FM/Hubungan Masyarakat/AKREDITAS/AKREDITASI PR/REPORT PKM PRODI PR/Periode 2020-2021/Ganjil/Galuh Ayu Safitri?csf=1&amp;web=1&amp;e=QnLO4k" xr:uid="{9CC639C6-E9CC-45E6-A040-1691853CEC00}"/>
    <hyperlink ref="J11" r:id="rId66" display="https://binusianorg.sharepoint.com/sites/RCDC/Shared Documents/Data Center RCDC/DATA CATURDARMA SETIAP FM/Hubungan Masyarakat/AKREDITAS/AKREDITASI PR/REPORT PKM PRODI PR/Periode 2020-2021/Ganjil/Nisrin Husna?csf=1&amp;web=1&amp;e=ROsLAb" xr:uid="{4FE21AC4-9F08-4623-AA6F-0400CFBE5D91}"/>
    <hyperlink ref="J12" r:id="rId67" display="https://binusianorg.sharepoint.com/sites/RCDC/Shared Documents/Data Center RCDC/DATA CATURDARMA SETIAP FM/Hubungan Masyarakat/AKREDITAS/AKREDITASI PR/REPORT PKM PRODI PR/Periode 2020-2021/Ganjil/Nisrin Husna?csf=1&amp;web=1&amp;e=ROsLAb" xr:uid="{32860539-9DF8-4AE4-AEC1-E6F5EFD375A9}"/>
    <hyperlink ref="J14" r:id="rId68" display="https://binusianorg.sharepoint.com/sites/RCDC/Shared Documents/Data Center RCDC/DATA CATURDARMA SETIAP FM/Hubungan Masyarakat/AKREDITAS/AKREDITASI PR/REPORT PKM PRODI PR/Periode 2021-2022/Ganjil/Adhimurti Citra Amalia?csf=1&amp;web=1&amp;e=X0dv7a" xr:uid="{55212E39-5987-4765-855D-70DEFCA7BB6A}"/>
  </hyperlinks>
  <pageMargins left="0.7" right="0.7" top="0.75" bottom="0.75" header="0.3" footer="0.3"/>
  <tableParts count="1">
    <tablePart r:id="rId6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50C1-A1B5-4A19-919E-2B89A80EEEEB}">
  <dimension ref="A1:G105"/>
  <sheetViews>
    <sheetView tabSelected="1" topLeftCell="A56" workbookViewId="0">
      <selection activeCell="B23" sqref="B23"/>
    </sheetView>
  </sheetViews>
  <sheetFormatPr defaultRowHeight="15" x14ac:dyDescent="0.25"/>
  <cols>
    <col min="1" max="1" width="36.42578125" bestFit="1" customWidth="1"/>
    <col min="2" max="2" width="46.85546875" bestFit="1" customWidth="1"/>
    <col min="3" max="3" width="14.85546875" bestFit="1" customWidth="1"/>
    <col min="4" max="4" width="34.85546875" customWidth="1"/>
    <col min="5" max="5" width="12" customWidth="1"/>
    <col min="6" max="6" width="18.42578125" customWidth="1"/>
    <col min="7" max="7" width="36.140625" customWidth="1"/>
  </cols>
  <sheetData>
    <row r="1" spans="1:7" ht="90" x14ac:dyDescent="0.25">
      <c r="A1" s="112" t="s">
        <v>171</v>
      </c>
      <c r="B1" s="113" t="s">
        <v>172</v>
      </c>
      <c r="C1" s="113" t="s">
        <v>123</v>
      </c>
      <c r="D1" s="114" t="s">
        <v>164</v>
      </c>
      <c r="E1" s="115" t="s">
        <v>165</v>
      </c>
      <c r="F1" s="116" t="s">
        <v>166</v>
      </c>
      <c r="G1" s="117" t="s">
        <v>167</v>
      </c>
    </row>
    <row r="2" spans="1:7" x14ac:dyDescent="0.25">
      <c r="A2" s="109" t="s">
        <v>173</v>
      </c>
      <c r="B2" s="107" t="s">
        <v>174</v>
      </c>
      <c r="C2" s="107" t="str">
        <f>VLOOKUP(B2,[1]Sheet2!$I$3:$J$113,2,0)</f>
        <v>D5390</v>
      </c>
      <c r="D2" s="108">
        <v>1</v>
      </c>
      <c r="E2" s="108">
        <v>0</v>
      </c>
      <c r="F2" s="106">
        <v>4</v>
      </c>
      <c r="G2" s="110" t="s">
        <v>168</v>
      </c>
    </row>
    <row r="3" spans="1:7" x14ac:dyDescent="0.25">
      <c r="A3" s="109" t="s">
        <v>173</v>
      </c>
      <c r="B3" s="107" t="s">
        <v>175</v>
      </c>
      <c r="C3" s="107" t="str">
        <f>VLOOKUP(B3,[1]Sheet2!$I$3:$J$113,2,0)</f>
        <v>D5835</v>
      </c>
      <c r="D3" s="108">
        <v>1</v>
      </c>
      <c r="E3" s="108">
        <v>0</v>
      </c>
      <c r="F3" s="106">
        <v>4</v>
      </c>
      <c r="G3" s="110" t="s">
        <v>168</v>
      </c>
    </row>
    <row r="4" spans="1:7" x14ac:dyDescent="0.25">
      <c r="A4" s="109" t="s">
        <v>173</v>
      </c>
      <c r="B4" s="107" t="s">
        <v>176</v>
      </c>
      <c r="C4" s="107" t="str">
        <f>VLOOKUP(B4,[1]Sheet2!$I$3:$J$113,2,0)</f>
        <v>D5844</v>
      </c>
      <c r="D4" s="108">
        <v>1</v>
      </c>
      <c r="E4" s="108">
        <v>0</v>
      </c>
      <c r="F4" s="106">
        <v>4</v>
      </c>
      <c r="G4" s="110" t="s">
        <v>168</v>
      </c>
    </row>
    <row r="5" spans="1:7" x14ac:dyDescent="0.25">
      <c r="A5" s="109" t="s">
        <v>173</v>
      </c>
      <c r="B5" s="107" t="s">
        <v>177</v>
      </c>
      <c r="C5" s="107" t="str">
        <f>VLOOKUP(B5,[1]Sheet2!$I$3:$J$113,2,0)</f>
        <v>D5847</v>
      </c>
      <c r="D5" s="108">
        <v>1</v>
      </c>
      <c r="E5" s="108">
        <v>1</v>
      </c>
      <c r="F5" s="106">
        <v>5</v>
      </c>
      <c r="G5" s="110" t="s">
        <v>168</v>
      </c>
    </row>
    <row r="6" spans="1:7" x14ac:dyDescent="0.25">
      <c r="A6" s="109" t="s">
        <v>173</v>
      </c>
      <c r="B6" s="107" t="s">
        <v>178</v>
      </c>
      <c r="C6" s="107" t="str">
        <f>VLOOKUP(B6,[1]Sheet2!$I$3:$J$113,2,0)</f>
        <v>D5868</v>
      </c>
      <c r="D6" s="108">
        <v>0</v>
      </c>
      <c r="E6" s="108">
        <v>0</v>
      </c>
      <c r="F6" s="106">
        <v>0</v>
      </c>
      <c r="G6" s="111" t="s">
        <v>169</v>
      </c>
    </row>
    <row r="7" spans="1:7" x14ac:dyDescent="0.25">
      <c r="A7" s="109" t="s">
        <v>173</v>
      </c>
      <c r="B7" s="107" t="s">
        <v>179</v>
      </c>
      <c r="C7" s="107" t="str">
        <f>VLOOKUP(B7,[1]Sheet2!$I$3:$J$113,2,0)</f>
        <v>D6067</v>
      </c>
      <c r="D7" s="108">
        <v>1</v>
      </c>
      <c r="E7" s="108">
        <v>0</v>
      </c>
      <c r="F7" s="106">
        <v>4</v>
      </c>
      <c r="G7" s="110" t="s">
        <v>168</v>
      </c>
    </row>
    <row r="8" spans="1:7" x14ac:dyDescent="0.25">
      <c r="A8" s="109" t="s">
        <v>173</v>
      </c>
      <c r="B8" s="107" t="s">
        <v>180</v>
      </c>
      <c r="C8" s="107" t="str">
        <f>VLOOKUP(B8,[1]Sheet2!$I$3:$J$113,2,0)</f>
        <v>D6161</v>
      </c>
      <c r="D8" s="108">
        <v>0</v>
      </c>
      <c r="E8" s="108">
        <v>0</v>
      </c>
      <c r="F8" s="106">
        <v>0</v>
      </c>
      <c r="G8" s="111" t="s">
        <v>169</v>
      </c>
    </row>
    <row r="9" spans="1:7" x14ac:dyDescent="0.25">
      <c r="A9" s="109" t="s">
        <v>173</v>
      </c>
      <c r="B9" s="107" t="s">
        <v>181</v>
      </c>
      <c r="C9" s="107" t="str">
        <f>VLOOKUP(B9,[1]Sheet2!$I$3:$J$113,2,0)</f>
        <v>D6258</v>
      </c>
      <c r="D9" s="108">
        <v>1</v>
      </c>
      <c r="E9" s="108">
        <v>0</v>
      </c>
      <c r="F9" s="106">
        <v>4</v>
      </c>
      <c r="G9" s="110" t="s">
        <v>168</v>
      </c>
    </row>
    <row r="10" spans="1:7" x14ac:dyDescent="0.25">
      <c r="A10" s="109" t="s">
        <v>173</v>
      </c>
      <c r="B10" s="107" t="s">
        <v>182</v>
      </c>
      <c r="C10" s="107" t="str">
        <f>VLOOKUP(B10,[1]Sheet2!$I$3:$J$113,2,0)</f>
        <v>D6259</v>
      </c>
      <c r="D10" s="108">
        <v>1</v>
      </c>
      <c r="E10" s="108">
        <v>0</v>
      </c>
      <c r="F10" s="106">
        <v>4</v>
      </c>
      <c r="G10" s="110" t="s">
        <v>168</v>
      </c>
    </row>
    <row r="11" spans="1:7" x14ac:dyDescent="0.25">
      <c r="A11" s="109" t="s">
        <v>173</v>
      </c>
      <c r="B11" s="107" t="s">
        <v>183</v>
      </c>
      <c r="C11" s="107" t="str">
        <f>VLOOKUP(B11,[1]Sheet2!$I$3:$J$113,2,0)</f>
        <v>D6284</v>
      </c>
      <c r="D11" s="108">
        <v>1</v>
      </c>
      <c r="E11" s="108">
        <v>0</v>
      </c>
      <c r="F11" s="106">
        <v>4</v>
      </c>
      <c r="G11" s="110" t="s">
        <v>168</v>
      </c>
    </row>
    <row r="12" spans="1:7" x14ac:dyDescent="0.25">
      <c r="A12" s="109" t="s">
        <v>173</v>
      </c>
      <c r="B12" s="107" t="s">
        <v>184</v>
      </c>
      <c r="C12" s="107" t="str">
        <f>VLOOKUP(B12,[1]Sheet2!$I$3:$J$113,2,0)</f>
        <v>D6358</v>
      </c>
      <c r="D12" s="108">
        <v>1</v>
      </c>
      <c r="E12" s="108">
        <v>0</v>
      </c>
      <c r="F12" s="106">
        <v>4</v>
      </c>
      <c r="G12" s="110" t="s">
        <v>168</v>
      </c>
    </row>
    <row r="13" spans="1:7" x14ac:dyDescent="0.25">
      <c r="A13" s="109" t="s">
        <v>173</v>
      </c>
      <c r="B13" s="107" t="s">
        <v>185</v>
      </c>
      <c r="C13" s="107" t="str">
        <f>VLOOKUP(B13,[1]Sheet2!$I$3:$J$113,2,0)</f>
        <v>D6373</v>
      </c>
      <c r="D13" s="108">
        <v>1</v>
      </c>
      <c r="E13" s="108">
        <v>0</v>
      </c>
      <c r="F13" s="106">
        <v>4</v>
      </c>
      <c r="G13" s="110" t="s">
        <v>168</v>
      </c>
    </row>
    <row r="14" spans="1:7" x14ac:dyDescent="0.25">
      <c r="A14" s="109" t="s">
        <v>173</v>
      </c>
      <c r="B14" s="107" t="s">
        <v>186</v>
      </c>
      <c r="C14" s="107" t="str">
        <f>VLOOKUP(B14,[1]Sheet2!$I$3:$J$113,2,0)</f>
        <v>D6399</v>
      </c>
      <c r="D14" s="108">
        <v>3</v>
      </c>
      <c r="E14" s="108">
        <v>3</v>
      </c>
      <c r="F14" s="106">
        <v>6</v>
      </c>
      <c r="G14" s="110" t="s">
        <v>168</v>
      </c>
    </row>
    <row r="15" spans="1:7" x14ac:dyDescent="0.25">
      <c r="A15" s="109" t="s">
        <v>173</v>
      </c>
      <c r="B15" s="107" t="s">
        <v>187</v>
      </c>
      <c r="C15" s="107" t="str">
        <f>VLOOKUP(B15,[1]Sheet2!$I$3:$J$113,2,0)</f>
        <v>D6552</v>
      </c>
      <c r="D15" s="108">
        <v>1</v>
      </c>
      <c r="E15" s="108">
        <v>0</v>
      </c>
      <c r="F15" s="106">
        <v>4</v>
      </c>
      <c r="G15" s="110" t="s">
        <v>168</v>
      </c>
    </row>
    <row r="16" spans="1:7" x14ac:dyDescent="0.25">
      <c r="A16" s="109" t="s">
        <v>173</v>
      </c>
      <c r="B16" s="107" t="s">
        <v>188</v>
      </c>
      <c r="C16" s="107" t="str">
        <f>VLOOKUP(B16,[1]Sheet2!$I$3:$J$113,2,0)</f>
        <v>D6553</v>
      </c>
      <c r="D16" s="108">
        <v>0</v>
      </c>
      <c r="E16" s="108">
        <v>0</v>
      </c>
      <c r="F16" s="106">
        <v>0</v>
      </c>
      <c r="G16" s="111" t="s">
        <v>169</v>
      </c>
    </row>
    <row r="17" spans="1:7" x14ac:dyDescent="0.25">
      <c r="A17" s="109" t="s">
        <v>173</v>
      </c>
      <c r="B17" s="107" t="s">
        <v>189</v>
      </c>
      <c r="C17" s="107" t="str">
        <f>VLOOKUP(B17,[1]Sheet2!$I$3:$J$113,2,0)</f>
        <v>D6561</v>
      </c>
      <c r="D17" s="108">
        <v>1</v>
      </c>
      <c r="E17" s="108">
        <v>0</v>
      </c>
      <c r="F17" s="106">
        <v>4</v>
      </c>
      <c r="G17" s="110" t="s">
        <v>168</v>
      </c>
    </row>
    <row r="18" spans="1:7" x14ac:dyDescent="0.25">
      <c r="A18" s="109" t="s">
        <v>173</v>
      </c>
      <c r="B18" s="107" t="s">
        <v>190</v>
      </c>
      <c r="C18" s="107" t="str">
        <f>VLOOKUP(B18,[1]Sheet2!$I$3:$J$113,2,0)</f>
        <v>D6581</v>
      </c>
      <c r="D18" s="108">
        <v>0</v>
      </c>
      <c r="E18" s="108">
        <v>0</v>
      </c>
      <c r="F18" s="106">
        <v>0</v>
      </c>
      <c r="G18" s="111" t="s">
        <v>169</v>
      </c>
    </row>
    <row r="19" spans="1:7" x14ac:dyDescent="0.25">
      <c r="A19" s="109" t="s">
        <v>173</v>
      </c>
      <c r="B19" s="107" t="s">
        <v>191</v>
      </c>
      <c r="C19" s="107" t="str">
        <f>VLOOKUP(B19,[1]Sheet2!$I$3:$J$113,2,0)</f>
        <v>D6587</v>
      </c>
      <c r="D19" s="108">
        <v>0</v>
      </c>
      <c r="E19" s="108">
        <v>0</v>
      </c>
      <c r="F19" s="106">
        <v>0</v>
      </c>
      <c r="G19" s="111" t="s">
        <v>169</v>
      </c>
    </row>
    <row r="20" spans="1:7" x14ac:dyDescent="0.25">
      <c r="A20" s="109" t="s">
        <v>173</v>
      </c>
      <c r="B20" s="107" t="s">
        <v>192</v>
      </c>
      <c r="C20" s="107" t="str">
        <f>VLOOKUP(B20,[1]Sheet2!$I$3:$J$113,2,0)</f>
        <v>D6605</v>
      </c>
      <c r="D20" s="108">
        <v>0</v>
      </c>
      <c r="E20" s="108">
        <v>0</v>
      </c>
      <c r="F20" s="106">
        <v>0</v>
      </c>
      <c r="G20" s="111" t="s">
        <v>169</v>
      </c>
    </row>
    <row r="21" spans="1:7" x14ac:dyDescent="0.25">
      <c r="A21" s="109" t="s">
        <v>173</v>
      </c>
      <c r="B21" s="107" t="s">
        <v>193</v>
      </c>
      <c r="C21" s="107" t="str">
        <f>VLOOKUP(B21,[1]Sheet2!$I$3:$J$113,2,0)</f>
        <v>D6654</v>
      </c>
      <c r="D21" s="108">
        <v>2</v>
      </c>
      <c r="E21" s="108">
        <v>2</v>
      </c>
      <c r="F21" s="106">
        <v>6</v>
      </c>
      <c r="G21" s="110" t="s">
        <v>168</v>
      </c>
    </row>
    <row r="22" spans="1:7" x14ac:dyDescent="0.25">
      <c r="A22" s="109" t="s">
        <v>173</v>
      </c>
      <c r="B22" s="107" t="s">
        <v>194</v>
      </c>
      <c r="C22" s="107" t="str">
        <f>VLOOKUP(B22,[1]Sheet2!$I$3:$J$113,2,0)</f>
        <v>D6866</v>
      </c>
      <c r="D22" s="108">
        <v>0</v>
      </c>
      <c r="E22" s="108">
        <v>0</v>
      </c>
      <c r="F22" s="106">
        <v>0</v>
      </c>
      <c r="G22" s="111" t="s">
        <v>169</v>
      </c>
    </row>
    <row r="23" spans="1:7" x14ac:dyDescent="0.25">
      <c r="A23" s="109" t="s">
        <v>173</v>
      </c>
      <c r="B23" s="107" t="s">
        <v>195</v>
      </c>
      <c r="C23" s="107" t="e">
        <f>VLOOKUP(B23,[1]Sheet2!$I$3:$J$113,2,0)</f>
        <v>#N/A</v>
      </c>
      <c r="D23" s="108">
        <v>0</v>
      </c>
      <c r="E23" s="108">
        <v>0</v>
      </c>
      <c r="F23" s="106">
        <v>0</v>
      </c>
      <c r="G23" s="111" t="s">
        <v>169</v>
      </c>
    </row>
    <row r="24" spans="1:7" x14ac:dyDescent="0.25">
      <c r="A24" s="109" t="s">
        <v>173</v>
      </c>
      <c r="B24" s="107" t="s">
        <v>196</v>
      </c>
      <c r="C24" s="107" t="str">
        <f>VLOOKUP(B24,[1]Sheet2!$I$3:$J$113,2,0)</f>
        <v>D6966</v>
      </c>
      <c r="D24" s="108">
        <v>2</v>
      </c>
      <c r="E24" s="108">
        <v>1</v>
      </c>
      <c r="F24" s="106">
        <v>5</v>
      </c>
      <c r="G24" s="110" t="s">
        <v>168</v>
      </c>
    </row>
    <row r="25" spans="1:7" x14ac:dyDescent="0.25">
      <c r="A25" s="109" t="s">
        <v>173</v>
      </c>
      <c r="B25" s="107" t="s">
        <v>197</v>
      </c>
      <c r="C25" s="107" t="str">
        <f>VLOOKUP(B25,[1]Sheet2!$I$3:$J$113,2,0)</f>
        <v>D7056</v>
      </c>
      <c r="D25" s="108">
        <v>1</v>
      </c>
      <c r="E25" s="108">
        <v>1</v>
      </c>
      <c r="F25" s="106">
        <v>5</v>
      </c>
      <c r="G25" s="110" t="s">
        <v>168</v>
      </c>
    </row>
    <row r="26" spans="1:7" x14ac:dyDescent="0.25">
      <c r="A26" s="109" t="s">
        <v>173</v>
      </c>
      <c r="B26" s="107" t="s">
        <v>198</v>
      </c>
      <c r="C26" s="107" t="str">
        <f>VLOOKUP(B26,[1]Sheet2!$I$3:$J$113,2,0)</f>
        <v>D7057</v>
      </c>
      <c r="D26" s="108">
        <v>0</v>
      </c>
      <c r="E26" s="108">
        <v>0</v>
      </c>
      <c r="F26" s="106">
        <v>0</v>
      </c>
      <c r="G26" s="111" t="s">
        <v>169</v>
      </c>
    </row>
    <row r="27" spans="1:7" x14ac:dyDescent="0.25">
      <c r="A27" s="109" t="s">
        <v>173</v>
      </c>
      <c r="B27" s="107" t="s">
        <v>199</v>
      </c>
      <c r="C27" s="107" t="str">
        <f>VLOOKUP(B27,[1]Sheet2!$I$3:$J$113,2,0)</f>
        <v>D7058</v>
      </c>
      <c r="D27" s="108">
        <v>1</v>
      </c>
      <c r="E27" s="108">
        <v>0</v>
      </c>
      <c r="F27" s="106">
        <v>4</v>
      </c>
      <c r="G27" s="110" t="s">
        <v>168</v>
      </c>
    </row>
    <row r="28" spans="1:7" x14ac:dyDescent="0.25">
      <c r="A28" s="109" t="s">
        <v>173</v>
      </c>
      <c r="B28" s="107" t="s">
        <v>200</v>
      </c>
      <c r="C28" s="107" t="str">
        <f>VLOOKUP(B28,[1]Sheet2!$I$3:$J$113,2,0)</f>
        <v>D7059</v>
      </c>
      <c r="D28" s="108">
        <v>1</v>
      </c>
      <c r="E28" s="108">
        <v>0</v>
      </c>
      <c r="F28" s="106">
        <v>4</v>
      </c>
      <c r="G28" s="110" t="s">
        <v>168</v>
      </c>
    </row>
    <row r="29" spans="1:7" x14ac:dyDescent="0.25">
      <c r="A29" s="109" t="s">
        <v>201</v>
      </c>
      <c r="B29" s="107" t="s">
        <v>202</v>
      </c>
      <c r="C29" s="107" t="str">
        <f>VLOOKUP(B29,[1]Sheet2!$I$3:$J$113,2,0)</f>
        <v>D6071</v>
      </c>
      <c r="D29" s="108">
        <v>0</v>
      </c>
      <c r="E29" s="108">
        <v>0</v>
      </c>
      <c r="F29" s="106">
        <v>0</v>
      </c>
      <c r="G29" s="111" t="s">
        <v>169</v>
      </c>
    </row>
    <row r="30" spans="1:7" x14ac:dyDescent="0.25">
      <c r="A30" s="109" t="s">
        <v>201</v>
      </c>
      <c r="B30" s="107" t="s">
        <v>203</v>
      </c>
      <c r="C30" s="107" t="str">
        <f>VLOOKUP(B30,[1]Sheet2!$I$3:$J$113,2,0)</f>
        <v>D6162</v>
      </c>
      <c r="D30" s="108">
        <v>0</v>
      </c>
      <c r="E30" s="108">
        <v>0</v>
      </c>
      <c r="F30" s="106">
        <v>0</v>
      </c>
      <c r="G30" s="111" t="s">
        <v>169</v>
      </c>
    </row>
    <row r="31" spans="1:7" x14ac:dyDescent="0.25">
      <c r="A31" s="109" t="s">
        <v>201</v>
      </c>
      <c r="B31" s="107" t="s">
        <v>204</v>
      </c>
      <c r="C31" s="107" t="str">
        <f>VLOOKUP(B31,[1]Sheet2!$I$3:$J$113,2,0)</f>
        <v>D6266</v>
      </c>
      <c r="D31" s="108">
        <v>0</v>
      </c>
      <c r="E31" s="108">
        <v>0</v>
      </c>
      <c r="F31" s="106">
        <v>0</v>
      </c>
      <c r="G31" s="111" t="s">
        <v>169</v>
      </c>
    </row>
    <row r="32" spans="1:7" x14ac:dyDescent="0.25">
      <c r="A32" s="109" t="s">
        <v>201</v>
      </c>
      <c r="B32" s="107" t="s">
        <v>205</v>
      </c>
      <c r="C32" s="107" t="str">
        <f>VLOOKUP(B32,[1]Sheet2!$I$3:$J$113,2,0)</f>
        <v>D6335</v>
      </c>
      <c r="D32" s="108">
        <v>0</v>
      </c>
      <c r="E32" s="108">
        <v>0</v>
      </c>
      <c r="F32" s="106">
        <v>0</v>
      </c>
      <c r="G32" s="111" t="s">
        <v>169</v>
      </c>
    </row>
    <row r="33" spans="1:7" x14ac:dyDescent="0.25">
      <c r="A33" s="109" t="s">
        <v>201</v>
      </c>
      <c r="B33" s="107" t="s">
        <v>206</v>
      </c>
      <c r="C33" s="107" t="str">
        <f>VLOOKUP(B33,[1]Sheet2!$I$3:$J$113,2,0)</f>
        <v>D6337</v>
      </c>
      <c r="D33" s="108">
        <v>0</v>
      </c>
      <c r="E33" s="108">
        <v>0</v>
      </c>
      <c r="F33" s="106">
        <v>0</v>
      </c>
      <c r="G33" s="111" t="s">
        <v>169</v>
      </c>
    </row>
    <row r="34" spans="1:7" x14ac:dyDescent="0.25">
      <c r="A34" s="109" t="s">
        <v>201</v>
      </c>
      <c r="B34" s="107" t="s">
        <v>207</v>
      </c>
      <c r="C34" s="107" t="str">
        <f>VLOOKUP(B34,[1]Sheet2!$I$3:$J$113,2,0)</f>
        <v>D6384</v>
      </c>
      <c r="D34" s="108">
        <v>0</v>
      </c>
      <c r="E34" s="108">
        <v>0</v>
      </c>
      <c r="F34" s="106">
        <v>0</v>
      </c>
      <c r="G34" s="111" t="s">
        <v>169</v>
      </c>
    </row>
    <row r="35" spans="1:7" x14ac:dyDescent="0.25">
      <c r="A35" s="109" t="s">
        <v>201</v>
      </c>
      <c r="B35" s="107" t="s">
        <v>208</v>
      </c>
      <c r="C35" s="107" t="str">
        <f>VLOOKUP(B35,[1]Sheet2!$I$3:$J$113,2,0)</f>
        <v>D6701</v>
      </c>
      <c r="D35" s="108">
        <v>1</v>
      </c>
      <c r="E35" s="108">
        <v>1</v>
      </c>
      <c r="F35" s="106">
        <v>5</v>
      </c>
      <c r="G35" s="110" t="s">
        <v>168</v>
      </c>
    </row>
    <row r="36" spans="1:7" x14ac:dyDescent="0.25">
      <c r="A36" s="109" t="s">
        <v>201</v>
      </c>
      <c r="B36" s="107" t="s">
        <v>209</v>
      </c>
      <c r="C36" s="107" t="str">
        <f>VLOOKUP(B36,[1]Sheet2!$I$3:$J$113,2,0)</f>
        <v>D6923</v>
      </c>
      <c r="D36" s="108">
        <v>0</v>
      </c>
      <c r="E36" s="108">
        <v>0</v>
      </c>
      <c r="F36" s="106">
        <v>0</v>
      </c>
      <c r="G36" s="111" t="s">
        <v>169</v>
      </c>
    </row>
    <row r="37" spans="1:7" x14ac:dyDescent="0.25">
      <c r="A37" s="109" t="s">
        <v>201</v>
      </c>
      <c r="B37" s="107" t="s">
        <v>210</v>
      </c>
      <c r="C37" s="107" t="str">
        <f>VLOOKUP(B37,[1]Sheet2!$I$3:$J$113,2,0)</f>
        <v>D7051</v>
      </c>
      <c r="D37" s="108">
        <v>0</v>
      </c>
      <c r="E37" s="108">
        <v>0</v>
      </c>
      <c r="F37" s="106">
        <v>0</v>
      </c>
      <c r="G37" s="111" t="s">
        <v>169</v>
      </c>
    </row>
    <row r="38" spans="1:7" x14ac:dyDescent="0.25">
      <c r="A38" s="109" t="s">
        <v>211</v>
      </c>
      <c r="B38" s="107" t="s">
        <v>212</v>
      </c>
      <c r="C38" s="107" t="str">
        <f>VLOOKUP(B38,[1]Sheet2!$I$3:$J$113,2,0)</f>
        <v>D5567</v>
      </c>
      <c r="D38" s="108">
        <v>0</v>
      </c>
      <c r="E38" s="108">
        <v>0</v>
      </c>
      <c r="F38" s="106">
        <v>0</v>
      </c>
      <c r="G38" s="111" t="s">
        <v>169</v>
      </c>
    </row>
    <row r="39" spans="1:7" x14ac:dyDescent="0.25">
      <c r="A39" s="109" t="s">
        <v>211</v>
      </c>
      <c r="B39" s="107" t="s">
        <v>213</v>
      </c>
      <c r="C39" s="107" t="str">
        <f>VLOOKUP(B39,[1]Sheet2!$I$3:$J$113,2,0)</f>
        <v>D5911</v>
      </c>
      <c r="D39" s="108">
        <v>0</v>
      </c>
      <c r="E39" s="108">
        <v>0</v>
      </c>
      <c r="F39" s="106">
        <v>0</v>
      </c>
      <c r="G39" s="111" t="s">
        <v>169</v>
      </c>
    </row>
    <row r="40" spans="1:7" x14ac:dyDescent="0.25">
      <c r="A40" s="109" t="s">
        <v>211</v>
      </c>
      <c r="B40" s="107" t="s">
        <v>214</v>
      </c>
      <c r="C40" s="107" t="str">
        <f>VLOOKUP(B40,[1]Sheet2!$I$3:$J$113,2,0)</f>
        <v>D5925</v>
      </c>
      <c r="D40" s="108">
        <v>1</v>
      </c>
      <c r="E40" s="108">
        <v>0</v>
      </c>
      <c r="F40" s="106">
        <v>4</v>
      </c>
      <c r="G40" s="110" t="s">
        <v>168</v>
      </c>
    </row>
    <row r="41" spans="1:7" x14ac:dyDescent="0.25">
      <c r="A41" s="109" t="s">
        <v>211</v>
      </c>
      <c r="B41" s="107" t="s">
        <v>215</v>
      </c>
      <c r="C41" s="107" t="str">
        <f>VLOOKUP(B41,[1]Sheet2!$I$3:$J$113,2,0)</f>
        <v>D6295</v>
      </c>
      <c r="D41" s="108">
        <v>0</v>
      </c>
      <c r="E41" s="108">
        <v>0</v>
      </c>
      <c r="F41" s="106">
        <v>0</v>
      </c>
      <c r="G41" s="111" t="s">
        <v>169</v>
      </c>
    </row>
    <row r="42" spans="1:7" x14ac:dyDescent="0.25">
      <c r="A42" s="109" t="s">
        <v>211</v>
      </c>
      <c r="B42" s="107" t="s">
        <v>216</v>
      </c>
      <c r="C42" s="107" t="str">
        <f>VLOOKUP(B42,[1]Sheet2!$I$3:$J$113,2,0)</f>
        <v>D6529</v>
      </c>
      <c r="D42" s="108">
        <v>0</v>
      </c>
      <c r="E42" s="108">
        <v>0</v>
      </c>
      <c r="F42" s="106">
        <v>0</v>
      </c>
      <c r="G42" s="111" t="s">
        <v>169</v>
      </c>
    </row>
    <row r="43" spans="1:7" x14ac:dyDescent="0.25">
      <c r="A43" s="109" t="s">
        <v>211</v>
      </c>
      <c r="B43" s="107" t="s">
        <v>217</v>
      </c>
      <c r="C43" s="107" t="str">
        <f>VLOOKUP(B43,[1]Sheet2!$I$3:$J$113,2,0)</f>
        <v>D6772</v>
      </c>
      <c r="D43" s="108">
        <v>0</v>
      </c>
      <c r="E43" s="108">
        <v>0</v>
      </c>
      <c r="F43" s="106">
        <v>0</v>
      </c>
      <c r="G43" s="111" t="s">
        <v>169</v>
      </c>
    </row>
    <row r="44" spans="1:7" x14ac:dyDescent="0.25">
      <c r="A44" s="109" t="s">
        <v>211</v>
      </c>
      <c r="B44" s="107" t="s">
        <v>218</v>
      </c>
      <c r="C44" s="107" t="str">
        <f>VLOOKUP(B44,[1]Sheet2!$I$3:$J$113,2,0)</f>
        <v>D6773</v>
      </c>
      <c r="D44" s="108">
        <v>0</v>
      </c>
      <c r="E44" s="108">
        <v>0</v>
      </c>
      <c r="F44" s="106">
        <v>0</v>
      </c>
      <c r="G44" s="111" t="s">
        <v>169</v>
      </c>
    </row>
    <row r="45" spans="1:7" x14ac:dyDescent="0.25">
      <c r="A45" s="109" t="s">
        <v>211</v>
      </c>
      <c r="B45" s="107" t="s">
        <v>219</v>
      </c>
      <c r="C45" s="107" t="str">
        <f>VLOOKUP(B45,[1]Sheet2!$I$3:$J$113,2,0)</f>
        <v>D6926</v>
      </c>
      <c r="D45" s="108">
        <v>0</v>
      </c>
      <c r="E45" s="108">
        <v>0</v>
      </c>
      <c r="F45" s="106">
        <v>0</v>
      </c>
      <c r="G45" s="111" t="s">
        <v>169</v>
      </c>
    </row>
    <row r="46" spans="1:7" x14ac:dyDescent="0.25">
      <c r="A46" s="109" t="s">
        <v>220</v>
      </c>
      <c r="B46" s="107" t="s">
        <v>221</v>
      </c>
      <c r="C46" s="107" t="str">
        <f>VLOOKUP(B46,[1]Sheet2!$I$3:$J$113,2,0)</f>
        <v>D5837</v>
      </c>
      <c r="D46" s="108">
        <v>0</v>
      </c>
      <c r="E46" s="108">
        <v>0</v>
      </c>
      <c r="F46" s="106">
        <v>0</v>
      </c>
      <c r="G46" s="111" t="s">
        <v>169</v>
      </c>
    </row>
    <row r="47" spans="1:7" x14ac:dyDescent="0.25">
      <c r="A47" s="109" t="s">
        <v>220</v>
      </c>
      <c r="B47" s="107" t="s">
        <v>222</v>
      </c>
      <c r="C47" s="107" t="str">
        <f>VLOOKUP(B47,[1]Sheet2!$I$3:$J$113,2,0)</f>
        <v>D5910</v>
      </c>
      <c r="D47" s="108">
        <v>0</v>
      </c>
      <c r="E47" s="108">
        <v>0</v>
      </c>
      <c r="F47" s="106">
        <v>0</v>
      </c>
      <c r="G47" s="111" t="s">
        <v>169</v>
      </c>
    </row>
    <row r="48" spans="1:7" x14ac:dyDescent="0.25">
      <c r="A48" s="109" t="s">
        <v>220</v>
      </c>
      <c r="B48" s="107" t="s">
        <v>223</v>
      </c>
      <c r="C48" s="107" t="str">
        <f>VLOOKUP(B48,[1]Sheet2!$I$3:$J$113,2,0)</f>
        <v>D5936</v>
      </c>
      <c r="D48" s="108">
        <v>0</v>
      </c>
      <c r="E48" s="108">
        <v>0</v>
      </c>
      <c r="F48" s="106">
        <v>0</v>
      </c>
      <c r="G48" s="111" t="s">
        <v>169</v>
      </c>
    </row>
    <row r="49" spans="1:7" x14ac:dyDescent="0.25">
      <c r="A49" s="109" t="s">
        <v>220</v>
      </c>
      <c r="B49" s="107" t="s">
        <v>224</v>
      </c>
      <c r="C49" s="107" t="str">
        <f>VLOOKUP(B49,[1]Sheet2!$I$3:$J$113,2,0)</f>
        <v>D6069</v>
      </c>
      <c r="D49" s="108">
        <v>0</v>
      </c>
      <c r="E49" s="108">
        <v>0</v>
      </c>
      <c r="F49" s="106">
        <v>0</v>
      </c>
      <c r="G49" s="111" t="s">
        <v>169</v>
      </c>
    </row>
    <row r="50" spans="1:7" x14ac:dyDescent="0.25">
      <c r="A50" s="109" t="s">
        <v>220</v>
      </c>
      <c r="B50" s="107" t="s">
        <v>225</v>
      </c>
      <c r="C50" s="107" t="str">
        <f>VLOOKUP(B50,[1]Sheet2!$I$3:$J$113,2,0)</f>
        <v>D6070</v>
      </c>
      <c r="D50" s="108">
        <v>0</v>
      </c>
      <c r="E50" s="108">
        <v>0</v>
      </c>
      <c r="F50" s="106">
        <v>0</v>
      </c>
      <c r="G50" s="111" t="s">
        <v>169</v>
      </c>
    </row>
    <row r="51" spans="1:7" x14ac:dyDescent="0.25">
      <c r="A51" s="109" t="s">
        <v>220</v>
      </c>
      <c r="B51" s="107" t="s">
        <v>226</v>
      </c>
      <c r="C51" s="107" t="str">
        <f>VLOOKUP(B51,[1]Sheet2!$I$3:$J$113,2,0)</f>
        <v>D6263</v>
      </c>
      <c r="D51" s="108">
        <v>0</v>
      </c>
      <c r="E51" s="108">
        <v>0</v>
      </c>
      <c r="F51" s="106">
        <v>0</v>
      </c>
      <c r="G51" s="111" t="s">
        <v>169</v>
      </c>
    </row>
    <row r="52" spans="1:7" x14ac:dyDescent="0.25">
      <c r="A52" s="109" t="s">
        <v>220</v>
      </c>
      <c r="B52" s="107" t="s">
        <v>227</v>
      </c>
      <c r="C52" s="107" t="str">
        <f>VLOOKUP(B52,[1]Sheet2!$I$3:$J$113,2,0)</f>
        <v>D6395</v>
      </c>
      <c r="D52" s="108">
        <v>0</v>
      </c>
      <c r="E52" s="108">
        <v>0</v>
      </c>
      <c r="F52" s="106">
        <v>0</v>
      </c>
      <c r="G52" s="111" t="s">
        <v>169</v>
      </c>
    </row>
    <row r="53" spans="1:7" x14ac:dyDescent="0.25">
      <c r="A53" s="109" t="s">
        <v>228</v>
      </c>
      <c r="B53" s="107" t="s">
        <v>229</v>
      </c>
      <c r="C53" s="107" t="str">
        <f>VLOOKUP(B53,[1]Sheet2!$I$3:$J$113,2,0)</f>
        <v>D5943</v>
      </c>
      <c r="D53" s="108">
        <v>0</v>
      </c>
      <c r="E53" s="108">
        <v>0</v>
      </c>
      <c r="F53" s="106">
        <v>0</v>
      </c>
      <c r="G53" s="111" t="s">
        <v>169</v>
      </c>
    </row>
    <row r="54" spans="1:7" x14ac:dyDescent="0.25">
      <c r="A54" s="109" t="s">
        <v>228</v>
      </c>
      <c r="B54" s="107" t="s">
        <v>230</v>
      </c>
      <c r="C54" s="107" t="str">
        <f>VLOOKUP(B54,[1]Sheet2!$I$3:$J$113,2,0)</f>
        <v>D6112</v>
      </c>
      <c r="D54" s="108">
        <v>0</v>
      </c>
      <c r="E54" s="108">
        <v>0</v>
      </c>
      <c r="F54" s="106">
        <v>0</v>
      </c>
      <c r="G54" s="111" t="s">
        <v>169</v>
      </c>
    </row>
    <row r="55" spans="1:7" x14ac:dyDescent="0.25">
      <c r="A55" s="109" t="s">
        <v>228</v>
      </c>
      <c r="B55" s="107" t="s">
        <v>231</v>
      </c>
      <c r="C55" s="107" t="str">
        <f>VLOOKUP(B55,[1]Sheet2!$I$3:$J$113,2,0)</f>
        <v>D6336</v>
      </c>
      <c r="D55" s="108">
        <v>0</v>
      </c>
      <c r="E55" s="108">
        <v>0</v>
      </c>
      <c r="F55" s="106">
        <v>0</v>
      </c>
      <c r="G55" s="111" t="s">
        <v>169</v>
      </c>
    </row>
    <row r="56" spans="1:7" x14ac:dyDescent="0.25">
      <c r="A56" s="109" t="s">
        <v>228</v>
      </c>
      <c r="B56" s="107" t="s">
        <v>232</v>
      </c>
      <c r="C56" s="107" t="str">
        <f>VLOOKUP(B56,[1]Sheet2!$I$3:$J$113,2,0)</f>
        <v>D6381</v>
      </c>
      <c r="D56" s="108">
        <v>0</v>
      </c>
      <c r="E56" s="108">
        <v>0</v>
      </c>
      <c r="F56" s="106">
        <v>0</v>
      </c>
      <c r="G56" s="111" t="s">
        <v>169</v>
      </c>
    </row>
    <row r="57" spans="1:7" x14ac:dyDescent="0.25">
      <c r="A57" s="109" t="s">
        <v>233</v>
      </c>
      <c r="B57" s="107" t="s">
        <v>234</v>
      </c>
      <c r="C57" s="107" t="str">
        <f>VLOOKUP(B57,[1]Sheet2!$I$3:$J$113,2,0)</f>
        <v>D1789</v>
      </c>
      <c r="D57" s="108">
        <v>4</v>
      </c>
      <c r="E57" s="108">
        <v>4</v>
      </c>
      <c r="F57" s="106">
        <v>6</v>
      </c>
      <c r="G57" s="110" t="s">
        <v>168</v>
      </c>
    </row>
    <row r="58" spans="1:7" x14ac:dyDescent="0.25">
      <c r="A58" s="109" t="s">
        <v>233</v>
      </c>
      <c r="B58" s="107" t="s">
        <v>235</v>
      </c>
      <c r="C58" s="107" t="str">
        <f>VLOOKUP(B58,[1]Sheet2!$I$3:$J$113,2,0)</f>
        <v>D3555</v>
      </c>
      <c r="D58" s="108">
        <v>0</v>
      </c>
      <c r="E58" s="108">
        <v>0</v>
      </c>
      <c r="F58" s="106">
        <v>0</v>
      </c>
      <c r="G58" s="111" t="s">
        <v>169</v>
      </c>
    </row>
    <row r="59" spans="1:7" x14ac:dyDescent="0.25">
      <c r="A59" s="109" t="s">
        <v>233</v>
      </c>
      <c r="B59" s="107" t="s">
        <v>236</v>
      </c>
      <c r="C59" s="107" t="str">
        <f>VLOOKUP(B59,[1]Sheet2!$I$3:$J$113,2,0)</f>
        <v>D3708</v>
      </c>
      <c r="D59" s="108">
        <v>1</v>
      </c>
      <c r="E59" s="108">
        <v>0</v>
      </c>
      <c r="F59" s="106">
        <v>4</v>
      </c>
      <c r="G59" s="110" t="s">
        <v>168</v>
      </c>
    </row>
    <row r="60" spans="1:7" x14ac:dyDescent="0.25">
      <c r="A60" s="109" t="s">
        <v>233</v>
      </c>
      <c r="B60" s="107" t="s">
        <v>237</v>
      </c>
      <c r="C60" s="107" t="str">
        <f>VLOOKUP(B60,[1]Sheet2!$I$3:$J$113,2,0)</f>
        <v>D4749</v>
      </c>
      <c r="D60" s="108">
        <v>2</v>
      </c>
      <c r="E60" s="108">
        <v>2</v>
      </c>
      <c r="F60" s="106">
        <v>6</v>
      </c>
      <c r="G60" s="110" t="s">
        <v>168</v>
      </c>
    </row>
    <row r="61" spans="1:7" x14ac:dyDescent="0.25">
      <c r="A61" s="109" t="s">
        <v>233</v>
      </c>
      <c r="B61" s="107" t="s">
        <v>238</v>
      </c>
      <c r="C61" s="107" t="str">
        <f>VLOOKUP(B61,[1]Sheet2!$I$3:$J$113,2,0)</f>
        <v>D5707</v>
      </c>
      <c r="D61" s="108">
        <v>2</v>
      </c>
      <c r="E61" s="108">
        <v>0</v>
      </c>
      <c r="F61" s="106">
        <v>4</v>
      </c>
      <c r="G61" s="110" t="s">
        <v>168</v>
      </c>
    </row>
    <row r="62" spans="1:7" x14ac:dyDescent="0.25">
      <c r="A62" s="109" t="s">
        <v>233</v>
      </c>
      <c r="B62" s="107" t="s">
        <v>239</v>
      </c>
      <c r="C62" s="107" t="str">
        <f>VLOOKUP(B62,[1]Sheet2!$I$3:$J$113,2,0)</f>
        <v>D5848</v>
      </c>
      <c r="D62" s="108">
        <v>1</v>
      </c>
      <c r="E62" s="108">
        <v>1</v>
      </c>
      <c r="F62" s="106">
        <v>5</v>
      </c>
      <c r="G62" s="110" t="s">
        <v>168</v>
      </c>
    </row>
    <row r="63" spans="1:7" x14ac:dyDescent="0.25">
      <c r="A63" s="109" t="s">
        <v>233</v>
      </c>
      <c r="B63" s="107" t="s">
        <v>240</v>
      </c>
      <c r="C63" s="107" t="str">
        <f>VLOOKUP(B63,[1]Sheet2!$I$3:$J$113,2,0)</f>
        <v>D5975</v>
      </c>
      <c r="D63" s="108">
        <v>0</v>
      </c>
      <c r="E63" s="108">
        <v>0</v>
      </c>
      <c r="F63" s="106">
        <v>0</v>
      </c>
      <c r="G63" s="111" t="s">
        <v>169</v>
      </c>
    </row>
    <row r="64" spans="1:7" x14ac:dyDescent="0.25">
      <c r="A64" s="109" t="s">
        <v>233</v>
      </c>
      <c r="B64" s="107" t="s">
        <v>241</v>
      </c>
      <c r="C64" s="107" t="str">
        <f>VLOOKUP(B64,[1]Sheet2!$I$3:$J$113,2,0)</f>
        <v>D6066</v>
      </c>
      <c r="D64" s="108">
        <v>1</v>
      </c>
      <c r="E64" s="108">
        <v>0</v>
      </c>
      <c r="F64" s="106">
        <v>4</v>
      </c>
      <c r="G64" s="110" t="s">
        <v>168</v>
      </c>
    </row>
    <row r="65" spans="1:7" x14ac:dyDescent="0.25">
      <c r="A65" s="109" t="s">
        <v>233</v>
      </c>
      <c r="B65" s="107" t="s">
        <v>242</v>
      </c>
      <c r="C65" s="107" t="str">
        <f>VLOOKUP(B65,[1]Sheet2!$I$3:$J$113,2,0)</f>
        <v>D6261</v>
      </c>
      <c r="D65" s="108">
        <v>1</v>
      </c>
      <c r="E65" s="108">
        <v>0</v>
      </c>
      <c r="F65" s="106">
        <v>4</v>
      </c>
      <c r="G65" s="110" t="s">
        <v>168</v>
      </c>
    </row>
    <row r="66" spans="1:7" x14ac:dyDescent="0.25">
      <c r="A66" s="109" t="s">
        <v>233</v>
      </c>
      <c r="B66" s="107" t="s">
        <v>243</v>
      </c>
      <c r="C66" s="107" t="str">
        <f>VLOOKUP(B66,[1]Sheet2!$I$3:$J$113,2,0)</f>
        <v>D6371</v>
      </c>
      <c r="D66" s="108">
        <v>1</v>
      </c>
      <c r="E66" s="108">
        <v>0</v>
      </c>
      <c r="F66" s="106">
        <v>4</v>
      </c>
      <c r="G66" s="110" t="s">
        <v>168</v>
      </c>
    </row>
    <row r="67" spans="1:7" x14ac:dyDescent="0.25">
      <c r="A67" s="109" t="s">
        <v>233</v>
      </c>
      <c r="B67" s="107" t="s">
        <v>244</v>
      </c>
      <c r="C67" s="107" t="str">
        <f>VLOOKUP(B67,[1]Sheet2!$I$3:$J$113,2,0)</f>
        <v>D6394</v>
      </c>
      <c r="D67" s="108">
        <v>1</v>
      </c>
      <c r="E67" s="108">
        <v>0</v>
      </c>
      <c r="F67" s="106">
        <v>4</v>
      </c>
      <c r="G67" s="110" t="s">
        <v>168</v>
      </c>
    </row>
    <row r="68" spans="1:7" x14ac:dyDescent="0.25">
      <c r="A68" s="109" t="s">
        <v>233</v>
      </c>
      <c r="B68" s="107" t="s">
        <v>245</v>
      </c>
      <c r="C68" s="107" t="str">
        <f>VLOOKUP(B68,[1]Sheet2!$I$3:$J$113,2,0)</f>
        <v>D6404</v>
      </c>
      <c r="D68" s="108">
        <v>0</v>
      </c>
      <c r="E68" s="108">
        <v>0</v>
      </c>
      <c r="F68" s="106">
        <v>0</v>
      </c>
      <c r="G68" s="111" t="s">
        <v>169</v>
      </c>
    </row>
    <row r="69" spans="1:7" x14ac:dyDescent="0.25">
      <c r="A69" s="109" t="s">
        <v>233</v>
      </c>
      <c r="B69" s="107" t="s">
        <v>246</v>
      </c>
      <c r="C69" s="107" t="str">
        <f>VLOOKUP(B69,[1]Sheet2!$I$3:$J$113,2,0)</f>
        <v>D6494</v>
      </c>
      <c r="D69" s="108">
        <v>0</v>
      </c>
      <c r="E69" s="108">
        <v>0</v>
      </c>
      <c r="F69" s="106">
        <v>0</v>
      </c>
      <c r="G69" s="111" t="s">
        <v>169</v>
      </c>
    </row>
    <row r="70" spans="1:7" x14ac:dyDescent="0.25">
      <c r="A70" s="109" t="s">
        <v>233</v>
      </c>
      <c r="B70" s="107" t="s">
        <v>247</v>
      </c>
      <c r="C70" s="107" t="str">
        <f>VLOOKUP(B70,[1]Sheet2!$I$3:$J$113,2,0)</f>
        <v>D6556</v>
      </c>
      <c r="D70" s="108">
        <v>0</v>
      </c>
      <c r="E70" s="108">
        <v>0</v>
      </c>
      <c r="F70" s="106">
        <v>0</v>
      </c>
      <c r="G70" s="111" t="s">
        <v>169</v>
      </c>
    </row>
    <row r="71" spans="1:7" x14ac:dyDescent="0.25">
      <c r="A71" s="109" t="s">
        <v>233</v>
      </c>
      <c r="B71" s="107" t="s">
        <v>248</v>
      </c>
      <c r="C71" s="107" t="str">
        <f>VLOOKUP(B71,[1]Sheet2!$I$3:$J$113,2,0)</f>
        <v>D6671</v>
      </c>
      <c r="D71" s="108">
        <v>1</v>
      </c>
      <c r="E71" s="108">
        <v>1</v>
      </c>
      <c r="F71" s="106">
        <v>5</v>
      </c>
      <c r="G71" s="110" t="s">
        <v>168</v>
      </c>
    </row>
    <row r="72" spans="1:7" x14ac:dyDescent="0.25">
      <c r="A72" s="109" t="s">
        <v>233</v>
      </c>
      <c r="B72" s="107" t="s">
        <v>249</v>
      </c>
      <c r="C72" s="107" t="str">
        <f>VLOOKUP(B72,[1]Sheet2!$I$3:$J$113,2,0)</f>
        <v>D6747</v>
      </c>
      <c r="D72" s="108">
        <v>1</v>
      </c>
      <c r="E72" s="108">
        <v>0</v>
      </c>
      <c r="F72" s="106">
        <v>4</v>
      </c>
      <c r="G72" s="110" t="s">
        <v>168</v>
      </c>
    </row>
    <row r="73" spans="1:7" x14ac:dyDescent="0.25">
      <c r="A73" s="109" t="s">
        <v>233</v>
      </c>
      <c r="B73" s="107" t="s">
        <v>250</v>
      </c>
      <c r="C73" s="107" t="str">
        <f>VLOOKUP(B73,[1]Sheet2!$I$3:$J$113,2,0)</f>
        <v>D6910</v>
      </c>
      <c r="D73" s="108">
        <v>1</v>
      </c>
      <c r="E73" s="108">
        <v>0</v>
      </c>
      <c r="F73" s="106">
        <v>4</v>
      </c>
      <c r="G73" s="110" t="s">
        <v>168</v>
      </c>
    </row>
    <row r="74" spans="1:7" x14ac:dyDescent="0.25">
      <c r="A74" s="109" t="s">
        <v>233</v>
      </c>
      <c r="B74" s="107" t="s">
        <v>251</v>
      </c>
      <c r="C74" s="107" t="s">
        <v>170</v>
      </c>
      <c r="D74" s="108">
        <v>0</v>
      </c>
      <c r="E74" s="108">
        <v>0</v>
      </c>
      <c r="F74" s="106">
        <v>0</v>
      </c>
      <c r="G74" s="111" t="s">
        <v>169</v>
      </c>
    </row>
    <row r="75" spans="1:7" x14ac:dyDescent="0.25">
      <c r="A75" s="109" t="s">
        <v>233</v>
      </c>
      <c r="B75" s="107" t="s">
        <v>252</v>
      </c>
      <c r="C75" s="107" t="str">
        <f>VLOOKUP(B75,[1]Sheet2!$I$3:$J$113,2,0)</f>
        <v>D6834</v>
      </c>
      <c r="D75" s="108">
        <v>2</v>
      </c>
      <c r="E75" s="108">
        <v>2</v>
      </c>
      <c r="F75" s="106">
        <v>6</v>
      </c>
      <c r="G75" s="110" t="s">
        <v>168</v>
      </c>
    </row>
    <row r="76" spans="1:7" x14ac:dyDescent="0.25">
      <c r="A76" s="109" t="s">
        <v>253</v>
      </c>
      <c r="B76" s="107" t="s">
        <v>254</v>
      </c>
      <c r="C76" s="107" t="str">
        <f>VLOOKUP(B76,[1]Sheet2!$I$3:$J$113,2,0)</f>
        <v>D3682</v>
      </c>
      <c r="D76" s="108">
        <v>0</v>
      </c>
      <c r="E76" s="108">
        <v>0</v>
      </c>
      <c r="F76" s="106">
        <v>0</v>
      </c>
      <c r="G76" s="111" t="s">
        <v>169</v>
      </c>
    </row>
    <row r="77" spans="1:7" x14ac:dyDescent="0.25">
      <c r="A77" s="109" t="s">
        <v>253</v>
      </c>
      <c r="B77" s="107" t="s">
        <v>255</v>
      </c>
      <c r="C77" s="107" t="str">
        <f>VLOOKUP(B77,[1]Sheet2!$I$3:$J$113,2,0)</f>
        <v>D6077</v>
      </c>
      <c r="D77" s="108">
        <v>0</v>
      </c>
      <c r="E77" s="108">
        <v>0</v>
      </c>
      <c r="F77" s="106">
        <v>0</v>
      </c>
      <c r="G77" s="111" t="s">
        <v>169</v>
      </c>
    </row>
    <row r="78" spans="1:7" x14ac:dyDescent="0.25">
      <c r="A78" s="109" t="s">
        <v>253</v>
      </c>
      <c r="B78" s="107" t="s">
        <v>256</v>
      </c>
      <c r="C78" s="107" t="str">
        <f>VLOOKUP(B78,[1]Sheet2!$I$3:$J$113,2,0)</f>
        <v>D6104</v>
      </c>
      <c r="D78" s="108">
        <v>1</v>
      </c>
      <c r="E78" s="108">
        <v>0</v>
      </c>
      <c r="F78" s="106">
        <v>4</v>
      </c>
      <c r="G78" s="110" t="s">
        <v>168</v>
      </c>
    </row>
    <row r="79" spans="1:7" x14ac:dyDescent="0.25">
      <c r="A79" s="109" t="s">
        <v>253</v>
      </c>
      <c r="B79" s="107" t="s">
        <v>257</v>
      </c>
      <c r="C79" s="107" t="str">
        <f>VLOOKUP(B79,[1]Sheet2!$I$3:$J$113,2,0)</f>
        <v>D6106</v>
      </c>
      <c r="D79" s="108">
        <v>0</v>
      </c>
      <c r="E79" s="108">
        <v>0</v>
      </c>
      <c r="F79" s="106">
        <v>0</v>
      </c>
      <c r="G79" s="111" t="s">
        <v>169</v>
      </c>
    </row>
    <row r="80" spans="1:7" x14ac:dyDescent="0.25">
      <c r="A80" s="109" t="s">
        <v>253</v>
      </c>
      <c r="B80" s="107" t="s">
        <v>258</v>
      </c>
      <c r="C80" s="107" t="str">
        <f>VLOOKUP(B80,[1]Sheet2!$I$3:$J$113,2,0)</f>
        <v>D6167</v>
      </c>
      <c r="D80" s="108">
        <v>0</v>
      </c>
      <c r="E80" s="108">
        <v>0</v>
      </c>
      <c r="F80" s="106">
        <v>0</v>
      </c>
      <c r="G80" s="111" t="s">
        <v>169</v>
      </c>
    </row>
    <row r="81" spans="1:7" x14ac:dyDescent="0.25">
      <c r="A81" s="109" t="s">
        <v>253</v>
      </c>
      <c r="B81" s="107" t="s">
        <v>259</v>
      </c>
      <c r="C81" s="107" t="str">
        <f>VLOOKUP(B81,[1]Sheet2!$I$3:$J$113,2,0)</f>
        <v>D6339</v>
      </c>
      <c r="D81" s="108">
        <v>0</v>
      </c>
      <c r="E81" s="108">
        <v>0</v>
      </c>
      <c r="F81" s="106">
        <v>0</v>
      </c>
      <c r="G81" s="111" t="s">
        <v>169</v>
      </c>
    </row>
    <row r="82" spans="1:7" x14ac:dyDescent="0.25">
      <c r="A82" s="109" t="s">
        <v>253</v>
      </c>
      <c r="B82" s="107" t="s">
        <v>260</v>
      </c>
      <c r="C82" s="107" t="str">
        <f>VLOOKUP(B82,[1]Sheet2!$I$3:$J$113,2,0)</f>
        <v>D6383</v>
      </c>
      <c r="D82" s="108">
        <v>0</v>
      </c>
      <c r="E82" s="108">
        <v>0</v>
      </c>
      <c r="F82" s="106">
        <v>0</v>
      </c>
      <c r="G82" s="111" t="s">
        <v>169</v>
      </c>
    </row>
    <row r="83" spans="1:7" x14ac:dyDescent="0.25">
      <c r="A83" s="109" t="s">
        <v>253</v>
      </c>
      <c r="B83" s="107" t="s">
        <v>261</v>
      </c>
      <c r="C83" s="107" t="str">
        <f>VLOOKUP(B83,[1]Sheet2!$I$3:$J$113,2,0)</f>
        <v>D6585</v>
      </c>
      <c r="D83" s="108">
        <v>0</v>
      </c>
      <c r="E83" s="108">
        <v>0</v>
      </c>
      <c r="F83" s="106">
        <v>0</v>
      </c>
      <c r="G83" s="111" t="s">
        <v>169</v>
      </c>
    </row>
    <row r="84" spans="1:7" x14ac:dyDescent="0.25">
      <c r="A84" s="109" t="s">
        <v>253</v>
      </c>
      <c r="B84" s="107" t="s">
        <v>262</v>
      </c>
      <c r="C84" s="107" t="str">
        <f>VLOOKUP(B84,[1]Sheet2!$I$3:$J$113,2,0)</f>
        <v>D6720</v>
      </c>
      <c r="D84" s="108">
        <v>0</v>
      </c>
      <c r="E84" s="108">
        <v>0</v>
      </c>
      <c r="F84" s="106">
        <v>0</v>
      </c>
      <c r="G84" s="111" t="s">
        <v>169</v>
      </c>
    </row>
    <row r="85" spans="1:7" x14ac:dyDescent="0.25">
      <c r="A85" s="109" t="s">
        <v>253</v>
      </c>
      <c r="B85" s="107" t="s">
        <v>263</v>
      </c>
      <c r="C85" s="107" t="str">
        <f>VLOOKUP(B85,[1]Sheet2!$I$3:$J$113,2,0)</f>
        <v>D6790</v>
      </c>
      <c r="D85" s="108">
        <v>1</v>
      </c>
      <c r="E85" s="108">
        <v>0</v>
      </c>
      <c r="F85" s="106">
        <v>4</v>
      </c>
      <c r="G85" s="110" t="s">
        <v>168</v>
      </c>
    </row>
    <row r="86" spans="1:7" x14ac:dyDescent="0.25">
      <c r="A86" s="109" t="s">
        <v>253</v>
      </c>
      <c r="B86" s="107" t="s">
        <v>264</v>
      </c>
      <c r="C86" s="107" t="str">
        <f>VLOOKUP(B86,[1]Sheet2!$I$3:$J$113,2,0)</f>
        <v>D7001</v>
      </c>
      <c r="D86" s="108">
        <v>0</v>
      </c>
      <c r="E86" s="108">
        <v>0</v>
      </c>
      <c r="F86" s="106">
        <v>0</v>
      </c>
      <c r="G86" s="111" t="s">
        <v>169</v>
      </c>
    </row>
    <row r="87" spans="1:7" x14ac:dyDescent="0.25">
      <c r="A87" s="109" t="s">
        <v>265</v>
      </c>
      <c r="B87" s="107" t="s">
        <v>266</v>
      </c>
      <c r="C87" s="107" t="str">
        <f>VLOOKUP(B87,[1]Sheet2!$I$3:$J$113,2,0)</f>
        <v>D5838</v>
      </c>
      <c r="D87" s="108">
        <v>0</v>
      </c>
      <c r="E87" s="108">
        <v>0</v>
      </c>
      <c r="F87" s="106">
        <v>0</v>
      </c>
      <c r="G87" s="111" t="s">
        <v>169</v>
      </c>
    </row>
    <row r="88" spans="1:7" x14ac:dyDescent="0.25">
      <c r="A88" s="109" t="s">
        <v>265</v>
      </c>
      <c r="B88" s="107" t="s">
        <v>267</v>
      </c>
      <c r="C88" s="107" t="str">
        <f>VLOOKUP(B88,[1]Sheet2!$I$3:$J$113,2,0)</f>
        <v>D5845</v>
      </c>
      <c r="D88" s="108">
        <v>0</v>
      </c>
      <c r="E88" s="108">
        <v>0</v>
      </c>
      <c r="F88" s="106">
        <v>0</v>
      </c>
      <c r="G88" s="111" t="s">
        <v>169</v>
      </c>
    </row>
    <row r="89" spans="1:7" x14ac:dyDescent="0.25">
      <c r="A89" s="109" t="s">
        <v>265</v>
      </c>
      <c r="B89" s="107" t="s">
        <v>268</v>
      </c>
      <c r="C89" s="107" t="str">
        <f>VLOOKUP(B89,[1]Sheet2!$I$3:$J$113,2,0)</f>
        <v>D5942</v>
      </c>
      <c r="D89" s="108">
        <v>0</v>
      </c>
      <c r="E89" s="108">
        <v>0</v>
      </c>
      <c r="F89" s="106">
        <v>0</v>
      </c>
      <c r="G89" s="111" t="s">
        <v>169</v>
      </c>
    </row>
    <row r="90" spans="1:7" x14ac:dyDescent="0.25">
      <c r="A90" s="109" t="s">
        <v>265</v>
      </c>
      <c r="B90" s="107" t="s">
        <v>269</v>
      </c>
      <c r="C90" s="107" t="str">
        <f>VLOOKUP(B90,[1]Sheet2!$I$3:$J$113,2,0)</f>
        <v>D6032</v>
      </c>
      <c r="D90" s="108">
        <v>2</v>
      </c>
      <c r="E90" s="108">
        <v>2</v>
      </c>
      <c r="F90" s="106">
        <v>6</v>
      </c>
      <c r="G90" s="110" t="s">
        <v>168</v>
      </c>
    </row>
    <row r="91" spans="1:7" x14ac:dyDescent="0.25">
      <c r="A91" s="109" t="s">
        <v>265</v>
      </c>
      <c r="B91" s="107" t="s">
        <v>270</v>
      </c>
      <c r="C91" s="107" t="str">
        <f>VLOOKUP(B91,[1]Sheet2!$I$3:$J$113,2,0)</f>
        <v>D6103</v>
      </c>
      <c r="D91" s="108">
        <v>0</v>
      </c>
      <c r="E91" s="108">
        <v>0</v>
      </c>
      <c r="F91" s="106">
        <v>0</v>
      </c>
      <c r="G91" s="111" t="s">
        <v>169</v>
      </c>
    </row>
    <row r="92" spans="1:7" x14ac:dyDescent="0.25">
      <c r="A92" s="109" t="s">
        <v>265</v>
      </c>
      <c r="B92" s="107" t="s">
        <v>271</v>
      </c>
      <c r="C92" s="107" t="str">
        <f>VLOOKUP(B92,[1]Sheet2!$I$3:$J$113,2,0)</f>
        <v>D6110</v>
      </c>
      <c r="D92" s="108">
        <v>1</v>
      </c>
      <c r="E92" s="108">
        <v>1</v>
      </c>
      <c r="F92" s="106">
        <v>5</v>
      </c>
      <c r="G92" s="110" t="s">
        <v>168</v>
      </c>
    </row>
    <row r="93" spans="1:7" x14ac:dyDescent="0.25">
      <c r="A93" s="109" t="s">
        <v>265</v>
      </c>
      <c r="B93" s="107" t="s">
        <v>272</v>
      </c>
      <c r="C93" s="107" t="str">
        <f>VLOOKUP(B93,[1]Sheet2!$I$3:$J$113,2,0)</f>
        <v>D6262</v>
      </c>
      <c r="D93" s="108">
        <v>0</v>
      </c>
      <c r="E93" s="108">
        <v>0</v>
      </c>
      <c r="F93" s="106">
        <v>0</v>
      </c>
      <c r="G93" s="111" t="s">
        <v>169</v>
      </c>
    </row>
    <row r="94" spans="1:7" x14ac:dyDescent="0.25">
      <c r="A94" s="109" t="s">
        <v>265</v>
      </c>
      <c r="B94" s="107" t="s">
        <v>273</v>
      </c>
      <c r="C94" s="107" t="str">
        <f>VLOOKUP(B94,[1]Sheet2!$I$3:$J$113,2,0)</f>
        <v>D6392</v>
      </c>
      <c r="D94" s="108">
        <v>2</v>
      </c>
      <c r="E94" s="108">
        <v>2</v>
      </c>
      <c r="F94" s="106">
        <v>6</v>
      </c>
      <c r="G94" s="110" t="s">
        <v>168</v>
      </c>
    </row>
    <row r="95" spans="1:7" x14ac:dyDescent="0.25">
      <c r="A95" s="109" t="s">
        <v>265</v>
      </c>
      <c r="B95" s="107" t="s">
        <v>274</v>
      </c>
      <c r="C95" s="107" t="str">
        <f>VLOOKUP(B95,[1]Sheet2!$I$3:$J$113,2,0)</f>
        <v>D6495</v>
      </c>
      <c r="D95" s="108">
        <v>0</v>
      </c>
      <c r="E95" s="108">
        <v>0</v>
      </c>
      <c r="F95" s="106">
        <v>0</v>
      </c>
      <c r="G95" s="111" t="s">
        <v>169</v>
      </c>
    </row>
    <row r="96" spans="1:7" x14ac:dyDescent="0.25">
      <c r="A96" s="109" t="s">
        <v>265</v>
      </c>
      <c r="B96" s="107" t="s">
        <v>275</v>
      </c>
      <c r="C96" s="107" t="str">
        <f>VLOOKUP(B96,[1]Sheet2!$I$3:$J$113,2,0)</f>
        <v>D6496</v>
      </c>
      <c r="D96" s="108">
        <v>0</v>
      </c>
      <c r="E96" s="108">
        <v>0</v>
      </c>
      <c r="F96" s="106">
        <v>0</v>
      </c>
      <c r="G96" s="111" t="s">
        <v>169</v>
      </c>
    </row>
    <row r="97" spans="1:7" x14ac:dyDescent="0.25">
      <c r="A97" s="109" t="s">
        <v>265</v>
      </c>
      <c r="B97" s="107" t="s">
        <v>276</v>
      </c>
      <c r="C97" s="107" t="str">
        <f>VLOOKUP(B97,[1]Sheet2!$I$3:$J$113,2,0)</f>
        <v>D6497</v>
      </c>
      <c r="D97" s="108">
        <v>1</v>
      </c>
      <c r="E97" s="108">
        <v>0</v>
      </c>
      <c r="F97" s="106">
        <v>4</v>
      </c>
      <c r="G97" s="110" t="s">
        <v>168</v>
      </c>
    </row>
    <row r="98" spans="1:7" x14ac:dyDescent="0.25">
      <c r="A98" s="109" t="s">
        <v>265</v>
      </c>
      <c r="B98" s="107" t="s">
        <v>277</v>
      </c>
      <c r="C98" s="107" t="str">
        <f>VLOOKUP(B98,[1]Sheet2!$I$3:$J$113,2,0)</f>
        <v>D6775</v>
      </c>
      <c r="D98" s="108">
        <v>0</v>
      </c>
      <c r="E98" s="108">
        <v>0</v>
      </c>
      <c r="F98" s="106">
        <v>0</v>
      </c>
      <c r="G98" s="111" t="s">
        <v>169</v>
      </c>
    </row>
    <row r="99" spans="1:7" x14ac:dyDescent="0.25">
      <c r="A99" s="109" t="s">
        <v>265</v>
      </c>
      <c r="B99" s="107" t="s">
        <v>278</v>
      </c>
      <c r="C99" s="107" t="str">
        <f>VLOOKUP(B99,[1]Sheet2!$I$3:$J$113,2,0)</f>
        <v>D6874</v>
      </c>
      <c r="D99" s="108">
        <v>0</v>
      </c>
      <c r="E99" s="108">
        <v>0</v>
      </c>
      <c r="F99" s="106">
        <v>0</v>
      </c>
      <c r="G99" s="111" t="s">
        <v>169</v>
      </c>
    </row>
    <row r="100" spans="1:7" x14ac:dyDescent="0.25">
      <c r="A100" s="109" t="s">
        <v>265</v>
      </c>
      <c r="B100" s="107" t="s">
        <v>279</v>
      </c>
      <c r="C100" s="107" t="str">
        <f>VLOOKUP(B100,[1]Sheet2!$I$3:$J$113,2,0)</f>
        <v>D6875</v>
      </c>
      <c r="D100" s="108">
        <v>0</v>
      </c>
      <c r="E100" s="108">
        <v>0</v>
      </c>
      <c r="F100" s="106">
        <v>0</v>
      </c>
      <c r="G100" s="111" t="s">
        <v>169</v>
      </c>
    </row>
    <row r="101" spans="1:7" x14ac:dyDescent="0.25">
      <c r="A101" s="109" t="s">
        <v>265</v>
      </c>
      <c r="B101" s="107" t="s">
        <v>280</v>
      </c>
      <c r="C101" s="107" t="str">
        <f>VLOOKUP(B101,[1]Sheet2!$I$3:$J$113,2,0)</f>
        <v>D6917</v>
      </c>
      <c r="D101" s="108">
        <v>0</v>
      </c>
      <c r="E101" s="108">
        <v>0</v>
      </c>
      <c r="F101" s="106">
        <v>0</v>
      </c>
      <c r="G101" s="111" t="s">
        <v>169</v>
      </c>
    </row>
    <row r="102" spans="1:7" x14ac:dyDescent="0.25">
      <c r="A102" s="109" t="s">
        <v>265</v>
      </c>
      <c r="B102" s="107" t="s">
        <v>281</v>
      </c>
      <c r="C102" s="107" t="str">
        <f>VLOOKUP(B102,[1]Sheet2!$I$3:$J$113,2,0)</f>
        <v>D6999</v>
      </c>
      <c r="D102" s="108">
        <v>0</v>
      </c>
      <c r="E102" s="108">
        <v>0</v>
      </c>
      <c r="F102" s="106">
        <v>0</v>
      </c>
      <c r="G102" s="111" t="s">
        <v>169</v>
      </c>
    </row>
    <row r="103" spans="1:7" x14ac:dyDescent="0.25">
      <c r="A103" s="109" t="s">
        <v>265</v>
      </c>
      <c r="B103" s="107" t="s">
        <v>282</v>
      </c>
      <c r="C103" s="107" t="str">
        <f>VLOOKUP(B103,[1]Sheet2!$I$3:$J$113,2,0)</f>
        <v>D7000</v>
      </c>
      <c r="D103" s="108">
        <v>1</v>
      </c>
      <c r="E103" s="108">
        <v>1</v>
      </c>
      <c r="F103" s="106">
        <v>5</v>
      </c>
      <c r="G103" s="110" t="s">
        <v>168</v>
      </c>
    </row>
    <row r="104" spans="1:7" x14ac:dyDescent="0.25">
      <c r="A104" s="109" t="s">
        <v>265</v>
      </c>
      <c r="B104" s="107" t="s">
        <v>283</v>
      </c>
      <c r="C104" s="107" t="str">
        <f>VLOOKUP(B104,[1]Sheet2!$I$3:$J$113,2,0)</f>
        <v>D7002</v>
      </c>
      <c r="D104" s="108">
        <v>1</v>
      </c>
      <c r="E104" s="108">
        <v>0</v>
      </c>
      <c r="F104" s="106">
        <v>4</v>
      </c>
      <c r="G104" s="110" t="s">
        <v>168</v>
      </c>
    </row>
    <row r="105" spans="1:7" x14ac:dyDescent="0.25">
      <c r="A105" s="118" t="s">
        <v>265</v>
      </c>
      <c r="B105" s="119" t="s">
        <v>284</v>
      </c>
      <c r="C105" s="119" t="str">
        <f>VLOOKUP(B105,[1]Sheet2!$I$3:$J$113,2,0)</f>
        <v>D7026</v>
      </c>
      <c r="D105" s="120">
        <v>0</v>
      </c>
      <c r="E105" s="120">
        <v>0</v>
      </c>
      <c r="F105" s="121">
        <v>0</v>
      </c>
      <c r="G105" s="122" t="s">
        <v>169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79f0-2d1a-48ef-9ffa-7e86bbb92691">
      <Terms xmlns="http://schemas.microsoft.com/office/infopath/2007/PartnerControls"/>
    </lcf76f155ced4ddcb4097134ff3c332f>
    <TaxCatchAll xmlns="70cee90b-721a-4576-8b32-b79eade8d5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8749DA711DA46827BFA7B9456061A" ma:contentTypeVersion="19" ma:contentTypeDescription="Create a new document." ma:contentTypeScope="" ma:versionID="fb85fd8db539fc7763aff32a63f1efd8">
  <xsd:schema xmlns:xsd="http://www.w3.org/2001/XMLSchema" xmlns:xs="http://www.w3.org/2001/XMLSchema" xmlns:p="http://schemas.microsoft.com/office/2006/metadata/properties" xmlns:ns2="662179f0-2d1a-48ef-9ffa-7e86bbb92691" xmlns:ns3="70cee90b-721a-4576-8b32-b79eade8d5ad" targetNamespace="http://schemas.microsoft.com/office/2006/metadata/properties" ma:root="true" ma:fieldsID="a2901de6cd7fa4101b0c7b93f8b0b9f6" ns2:_="" ns3:_="">
    <xsd:import namespace="662179f0-2d1a-48ef-9ffa-7e86bbb92691"/>
    <xsd:import namespace="70cee90b-721a-4576-8b32-b79eade8d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79f0-2d1a-48ef-9ffa-7e86bbb92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ee90b-721a-4576-8b32-b79eade8d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13eb328-df58-40ea-8525-f76fbcfebff3}" ma:internalName="TaxCatchAll" ma:showField="CatchAllData" ma:web="70cee90b-721a-4576-8b32-b79eade8d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FC0ECE-E3D5-4E64-BD06-7562DEB4F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26DCED-4654-4359-831C-AE5211C98853}">
  <ds:schemaRefs>
    <ds:schemaRef ds:uri="http://schemas.microsoft.com/office/2006/metadata/properties"/>
    <ds:schemaRef ds:uri="http://schemas.microsoft.com/office/infopath/2007/PartnerControls"/>
    <ds:schemaRef ds:uri="662179f0-2d1a-48ef-9ffa-7e86bbb92691"/>
    <ds:schemaRef ds:uri="70cee90b-721a-4576-8b32-b79eade8d5ad"/>
  </ds:schemaRefs>
</ds:datastoreItem>
</file>

<file path=customXml/itemProps3.xml><?xml version="1.0" encoding="utf-8"?>
<ds:datastoreItem xmlns:ds="http://schemas.openxmlformats.org/officeDocument/2006/customXml" ds:itemID="{A438DC08-AA63-4B51-9D7E-45EC2A753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2179f0-2d1a-48ef-9ffa-7e86bbb92691"/>
    <ds:schemaRef ds:uri="70cee90b-721a-4576-8b32-b79eade8d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2020-2021</vt:lpstr>
      <vt:lpstr>2021-2022</vt:lpstr>
      <vt:lpstr>2022-2023</vt:lpstr>
      <vt:lpstr>2023-2024</vt:lpstr>
      <vt:lpstr>List</vt:lpstr>
      <vt:lpstr>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Pandu Meidian Pratama</dc:creator>
  <cp:keywords/>
  <dc:description/>
  <cp:lastModifiedBy>HANUSTAVIRA GURU ACARYA</cp:lastModifiedBy>
  <cp:revision/>
  <dcterms:created xsi:type="dcterms:W3CDTF">2024-11-06T03:33:28Z</dcterms:created>
  <dcterms:modified xsi:type="dcterms:W3CDTF">2025-06-11T14:57:04Z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0x0101004D98749DA711DA46827BFA7B9456061A</vt:lpwstr>
  </property>
  <property fmtid="{D5CDD505-2E9C-101B-9397-08002B2CF9AE}" pid="3" name="MediaServiceImageTags">
    <vt:lpwstr/>
  </property>
</Properties>
</file>